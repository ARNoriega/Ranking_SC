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sas del SSD\formateo enero 2022\Otras cosas rip\geek week 2022 smash\ranking s1 2024\"/>
    </mc:Choice>
  </mc:AlternateContent>
  <xr:revisionPtr revIDLastSave="0" documentId="13_ncr:1_{16CA3969-6C31-4E25-BBCB-A37EB7E32BA6}" xr6:coauthVersionLast="47" xr6:coauthVersionMax="47" xr10:uidLastSave="{00000000-0000-0000-0000-000000000000}"/>
  <bookViews>
    <workbookView xWindow="28680" yWindow="-120" windowWidth="29040" windowHeight="15840" xr2:uid="{DFE517F7-BC30-4844-93BE-AFEF59C30F4B}"/>
  </bookViews>
  <sheets>
    <sheet name="Ranking" sheetId="1" r:id="rId1"/>
    <sheet name="TorneosScore" sheetId="3" r:id="rId2"/>
    <sheet name="TorneosResults" sheetId="4" r:id="rId3"/>
    <sheet name="PlayerResults" sheetId="5" r:id="rId4"/>
    <sheet name="PuntosBraacke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3" i="1"/>
  <c r="Q5" i="1"/>
  <c r="Q4" i="1"/>
  <c r="Q3" i="1"/>
  <c r="Q14" i="1"/>
  <c r="Q16" i="1"/>
  <c r="Q6" i="1"/>
  <c r="Q7" i="1"/>
  <c r="Q8" i="1"/>
  <c r="Q9" i="1"/>
  <c r="Q10" i="1"/>
  <c r="Q11" i="1"/>
  <c r="Q12" i="1"/>
  <c r="Q13" i="1"/>
  <c r="Q15" i="1"/>
  <c r="Q17" i="1"/>
  <c r="Q18" i="1"/>
  <c r="Q19" i="1"/>
  <c r="Q20" i="1"/>
  <c r="Q21" i="1"/>
  <c r="Q22" i="1"/>
  <c r="Q23" i="1"/>
  <c r="Q24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C40" i="5"/>
  <c r="B40" i="5"/>
  <c r="W25" i="5"/>
  <c r="W23" i="5"/>
  <c r="V25" i="5"/>
  <c r="U29" i="5"/>
  <c r="U28" i="5"/>
  <c r="U27" i="5"/>
  <c r="U24" i="5"/>
  <c r="U23" i="5"/>
  <c r="T25" i="5"/>
  <c r="S24" i="5"/>
  <c r="R29" i="5"/>
  <c r="R27" i="5"/>
  <c r="R26" i="5"/>
  <c r="R24" i="5"/>
  <c r="Q29" i="5"/>
  <c r="Q26" i="5"/>
  <c r="Q24" i="5"/>
  <c r="Q23" i="5"/>
  <c r="P29" i="5"/>
  <c r="P28" i="5"/>
  <c r="P27" i="5"/>
  <c r="P26" i="5"/>
  <c r="M45" i="4"/>
  <c r="M46" i="4"/>
  <c r="M47" i="4"/>
  <c r="M48" i="4"/>
  <c r="M49" i="4"/>
  <c r="M50" i="4"/>
  <c r="M51" i="4"/>
  <c r="M44" i="4"/>
  <c r="P25" i="5"/>
  <c r="P23" i="5"/>
  <c r="O29" i="5"/>
  <c r="O25" i="5"/>
  <c r="O23" i="5"/>
  <c r="N27" i="5"/>
  <c r="N24" i="5"/>
  <c r="M28" i="5"/>
  <c r="M26" i="5"/>
  <c r="M25" i="5"/>
  <c r="M23" i="5"/>
  <c r="L28" i="5"/>
  <c r="L27" i="5"/>
  <c r="L26" i="5"/>
  <c r="L25" i="5"/>
  <c r="L24" i="5"/>
  <c r="K29" i="5"/>
  <c r="K28" i="5"/>
  <c r="K25" i="5"/>
  <c r="J29" i="5"/>
  <c r="J28" i="5"/>
  <c r="J27" i="5"/>
  <c r="J25" i="5"/>
  <c r="J23" i="5"/>
  <c r="I28" i="5"/>
  <c r="I29" i="5"/>
  <c r="I27" i="5"/>
  <c r="I26" i="5"/>
  <c r="I25" i="5"/>
  <c r="I24" i="5"/>
  <c r="I23" i="5"/>
  <c r="H29" i="5"/>
  <c r="H28" i="5"/>
  <c r="H27" i="5"/>
  <c r="H25" i="5"/>
  <c r="H24" i="5"/>
  <c r="H23" i="5"/>
  <c r="G29" i="5"/>
  <c r="G28" i="5"/>
  <c r="G27" i="5"/>
  <c r="G26" i="5"/>
  <c r="G25" i="5"/>
  <c r="G24" i="5"/>
  <c r="G23" i="5"/>
  <c r="F27" i="5"/>
  <c r="F26" i="5"/>
  <c r="F24" i="5"/>
  <c r="E29" i="5"/>
  <c r="E28" i="5"/>
  <c r="E27" i="5"/>
  <c r="E26" i="5"/>
  <c r="E25" i="5"/>
  <c r="E24" i="5"/>
  <c r="E23" i="5"/>
  <c r="E22" i="5"/>
  <c r="D29" i="5"/>
  <c r="D28" i="5"/>
  <c r="D27" i="5"/>
  <c r="D26" i="5"/>
  <c r="D25" i="5"/>
  <c r="D23" i="5"/>
  <c r="D22" i="5"/>
  <c r="C28" i="5"/>
  <c r="C27" i="5"/>
  <c r="C26" i="5"/>
  <c r="C25" i="5"/>
  <c r="C24" i="5"/>
  <c r="C23" i="5"/>
  <c r="B29" i="5"/>
  <c r="B27" i="5"/>
  <c r="B26" i="5"/>
  <c r="B25" i="5"/>
  <c r="B22" i="5"/>
  <c r="D45" i="4"/>
  <c r="E45" i="4"/>
  <c r="F45" i="4"/>
  <c r="G45" i="4"/>
  <c r="H45" i="4"/>
  <c r="I45" i="4"/>
  <c r="J45" i="4"/>
  <c r="K45" i="4"/>
  <c r="L45" i="4"/>
  <c r="D46" i="4"/>
  <c r="E46" i="4"/>
  <c r="F46" i="4"/>
  <c r="G46" i="4"/>
  <c r="H46" i="4"/>
  <c r="I46" i="4"/>
  <c r="J46" i="4"/>
  <c r="K46" i="4"/>
  <c r="L46" i="4"/>
  <c r="D47" i="4"/>
  <c r="E47" i="4"/>
  <c r="F47" i="4"/>
  <c r="G47" i="4"/>
  <c r="H47" i="4"/>
  <c r="I47" i="4"/>
  <c r="J47" i="4"/>
  <c r="K47" i="4"/>
  <c r="L47" i="4"/>
  <c r="D48" i="4"/>
  <c r="E48" i="4"/>
  <c r="F48" i="4"/>
  <c r="G48" i="4"/>
  <c r="H48" i="4"/>
  <c r="I48" i="4"/>
  <c r="J48" i="4"/>
  <c r="K48" i="4"/>
  <c r="L48" i="4"/>
  <c r="D49" i="4"/>
  <c r="E49" i="4"/>
  <c r="F49" i="4"/>
  <c r="G49" i="4"/>
  <c r="H49" i="4"/>
  <c r="I49" i="4"/>
  <c r="J49" i="4"/>
  <c r="K49" i="4"/>
  <c r="L49" i="4"/>
  <c r="D50" i="4"/>
  <c r="E50" i="4"/>
  <c r="F50" i="4"/>
  <c r="G50" i="4"/>
  <c r="H50" i="4"/>
  <c r="I50" i="4"/>
  <c r="J50" i="4"/>
  <c r="K50" i="4"/>
  <c r="L50" i="4"/>
  <c r="D51" i="4"/>
  <c r="E51" i="4"/>
  <c r="F51" i="4"/>
  <c r="G51" i="4"/>
  <c r="H51" i="4"/>
  <c r="I51" i="4"/>
  <c r="J51" i="4"/>
  <c r="K51" i="4"/>
  <c r="L51" i="4"/>
  <c r="D44" i="4"/>
  <c r="L44" i="4"/>
  <c r="K44" i="4"/>
  <c r="J44" i="4"/>
  <c r="I44" i="4"/>
  <c r="H44" i="4"/>
  <c r="G44" i="4"/>
  <c r="F44" i="4"/>
  <c r="E44" i="4"/>
  <c r="D27" i="4"/>
  <c r="E27" i="4"/>
  <c r="F27" i="4"/>
  <c r="G27" i="4"/>
  <c r="H27" i="4"/>
  <c r="I27" i="4"/>
  <c r="J27" i="4"/>
  <c r="K27" i="4"/>
  <c r="L27" i="4"/>
  <c r="M27" i="4" s="1"/>
  <c r="O27" i="4"/>
  <c r="P27" i="4"/>
  <c r="Q27" i="4"/>
  <c r="R27" i="4"/>
  <c r="S27" i="4"/>
  <c r="T27" i="4"/>
  <c r="D28" i="4"/>
  <c r="E28" i="4"/>
  <c r="F28" i="4"/>
  <c r="G28" i="4"/>
  <c r="H28" i="4"/>
  <c r="I28" i="4"/>
  <c r="J28" i="4"/>
  <c r="K28" i="4"/>
  <c r="L28" i="4"/>
  <c r="O28" i="4" s="1"/>
  <c r="M28" i="4"/>
  <c r="N28" i="4"/>
  <c r="P28" i="4"/>
  <c r="Q28" i="4" s="1"/>
  <c r="R28" i="4"/>
  <c r="S28" i="4"/>
  <c r="T28" i="4"/>
  <c r="T26" i="4"/>
  <c r="P26" i="4"/>
  <c r="S26" i="4" s="1"/>
  <c r="L26" i="4"/>
  <c r="M26" i="4" s="1"/>
  <c r="J26" i="4"/>
  <c r="K26" i="4" s="1"/>
  <c r="H26" i="4"/>
  <c r="I26" i="4" s="1"/>
  <c r="G26" i="4"/>
  <c r="F26" i="4"/>
  <c r="E26" i="4"/>
  <c r="D26" i="4"/>
  <c r="F25" i="4"/>
  <c r="E25" i="4"/>
  <c r="D25" i="4"/>
  <c r="C44" i="4"/>
  <c r="C45" i="4"/>
  <c r="C46" i="4"/>
  <c r="C47" i="4"/>
  <c r="C48" i="4"/>
  <c r="C49" i="4"/>
  <c r="C50" i="4"/>
  <c r="C51" i="4"/>
  <c r="B44" i="4"/>
  <c r="B45" i="4"/>
  <c r="B46" i="4"/>
  <c r="B47" i="4"/>
  <c r="B48" i="4"/>
  <c r="B49" i="4"/>
  <c r="B50" i="4"/>
  <c r="B51" i="4"/>
  <c r="C43" i="4"/>
  <c r="B43" i="4"/>
  <c r="A43" i="4"/>
  <c r="A45" i="4"/>
  <c r="A46" i="4"/>
  <c r="A47" i="4"/>
  <c r="A48" i="4"/>
  <c r="A49" i="4"/>
  <c r="A50" i="4"/>
  <c r="A51" i="4"/>
  <c r="A44" i="4"/>
  <c r="D33" i="4"/>
  <c r="C22" i="4"/>
  <c r="J15" i="1"/>
  <c r="J16" i="1"/>
  <c r="J17" i="1"/>
  <c r="J18" i="1"/>
  <c r="J19" i="1"/>
  <c r="J20" i="1"/>
  <c r="J21" i="1"/>
  <c r="J22" i="1"/>
  <c r="J23" i="1"/>
  <c r="J24" i="1"/>
  <c r="B8" i="4"/>
  <c r="C39" i="4" s="1"/>
  <c r="B6" i="4"/>
  <c r="C37" i="4" s="1"/>
  <c r="N27" i="4" l="1"/>
  <c r="Q26" i="4"/>
  <c r="O26" i="4"/>
  <c r="N26" i="4"/>
  <c r="R26" i="4"/>
  <c r="J3" i="1"/>
  <c r="A23" i="5"/>
  <c r="A24" i="5"/>
  <c r="A25" i="5"/>
  <c r="A26" i="5"/>
  <c r="A27" i="5"/>
  <c r="A28" i="5"/>
  <c r="A29" i="5"/>
  <c r="A22" i="5"/>
  <c r="J22" i="3"/>
  <c r="O31" i="3"/>
  <c r="G26" i="3"/>
  <c r="G25" i="3"/>
  <c r="F25" i="3"/>
  <c r="H21" i="3"/>
  <c r="G24" i="3"/>
  <c r="G23" i="3"/>
  <c r="G22" i="3"/>
  <c r="G21" i="3"/>
  <c r="O29" i="3"/>
  <c r="O27" i="3"/>
  <c r="A9" i="5"/>
  <c r="A8" i="5"/>
  <c r="A7" i="5"/>
  <c r="A6" i="5"/>
  <c r="A5" i="5"/>
  <c r="A4" i="5"/>
  <c r="A3" i="5"/>
  <c r="A2" i="5"/>
  <c r="C21" i="4"/>
  <c r="F21" i="4" s="1"/>
  <c r="A32" i="4"/>
  <c r="B32" i="4"/>
  <c r="C19" i="4"/>
  <c r="F19" i="4" s="1"/>
  <c r="C20" i="4"/>
  <c r="D20" i="4" s="1"/>
  <c r="C3" i="4"/>
  <c r="B34" i="4" s="1"/>
  <c r="C4" i="4"/>
  <c r="B35" i="4" s="1"/>
  <c r="C5" i="4"/>
  <c r="B36" i="4" s="1"/>
  <c r="C6" i="4"/>
  <c r="B37" i="4" s="1"/>
  <c r="C7" i="4"/>
  <c r="B38" i="4" s="1"/>
  <c r="C8" i="4"/>
  <c r="B39" i="4" s="1"/>
  <c r="C9" i="4"/>
  <c r="B40" i="4" s="1"/>
  <c r="C2" i="4"/>
  <c r="B33" i="4" s="1"/>
  <c r="B2" i="4"/>
  <c r="P33" i="4" s="1"/>
  <c r="A3" i="4"/>
  <c r="A34" i="4" s="1"/>
  <c r="A4" i="4"/>
  <c r="A35" i="4" s="1"/>
  <c r="A5" i="4"/>
  <c r="A36" i="4" s="1"/>
  <c r="A6" i="4"/>
  <c r="A37" i="4" s="1"/>
  <c r="A7" i="4"/>
  <c r="A38" i="4" s="1"/>
  <c r="A8" i="4"/>
  <c r="A39" i="4" s="1"/>
  <c r="A9" i="4"/>
  <c r="A40" i="4" s="1"/>
  <c r="A2" i="4"/>
  <c r="A33" i="4" s="1"/>
  <c r="B3" i="4"/>
  <c r="C34" i="4" s="1"/>
  <c r="B4" i="4"/>
  <c r="C35" i="4" s="1"/>
  <c r="B5" i="4"/>
  <c r="C36" i="4" s="1"/>
  <c r="B7" i="4"/>
  <c r="C38" i="4" s="1"/>
  <c r="B9" i="4"/>
  <c r="C40" i="4" s="1"/>
  <c r="J4" i="1"/>
  <c r="L24" i="1" s="1"/>
  <c r="J5" i="1"/>
  <c r="J6" i="1"/>
  <c r="J7" i="1"/>
  <c r="J8" i="1"/>
  <c r="J9" i="1"/>
  <c r="J10" i="1"/>
  <c r="J11" i="1"/>
  <c r="J12" i="1"/>
  <c r="J13" i="1"/>
  <c r="J14" i="1"/>
  <c r="E21" i="4" l="1"/>
  <c r="D21" i="4"/>
  <c r="C33" i="4"/>
  <c r="P34" i="4"/>
  <c r="J37" i="4"/>
  <c r="H37" i="4"/>
  <c r="I37" i="4" s="1"/>
  <c r="G37" i="4"/>
  <c r="E37" i="4"/>
  <c r="F37" i="4"/>
  <c r="D37" i="4"/>
  <c r="J39" i="4"/>
  <c r="K39" i="4" s="1"/>
  <c r="H39" i="4"/>
  <c r="I39" i="4" s="1"/>
  <c r="F39" i="4"/>
  <c r="L37" i="4"/>
  <c r="M37" i="4" s="1"/>
  <c r="D39" i="4"/>
  <c r="E39" i="4"/>
  <c r="G39" i="4"/>
  <c r="M24" i="1"/>
  <c r="M19" i="1"/>
  <c r="M5" i="1"/>
  <c r="M22" i="1"/>
  <c r="M21" i="1"/>
  <c r="M20" i="1"/>
  <c r="M23" i="1"/>
  <c r="M17" i="1"/>
  <c r="M18" i="1"/>
  <c r="E33" i="4"/>
  <c r="M9" i="1"/>
  <c r="M7" i="1"/>
  <c r="F40" i="4"/>
  <c r="E40" i="4"/>
  <c r="D40" i="4"/>
  <c r="L40" i="4"/>
  <c r="J40" i="4"/>
  <c r="H40" i="4"/>
  <c r="G40" i="4"/>
  <c r="J35" i="4"/>
  <c r="H35" i="4"/>
  <c r="I35" i="4" s="1"/>
  <c r="G35" i="4"/>
  <c r="F35" i="4"/>
  <c r="E35" i="4"/>
  <c r="D35" i="4"/>
  <c r="L35" i="4"/>
  <c r="L38" i="4"/>
  <c r="J38" i="4"/>
  <c r="K38" i="4" s="1"/>
  <c r="E38" i="4"/>
  <c r="D38" i="4"/>
  <c r="H38" i="4"/>
  <c r="I38" i="4" s="1"/>
  <c r="G38" i="4"/>
  <c r="F38" i="4"/>
  <c r="D36" i="4"/>
  <c r="H36" i="4"/>
  <c r="L36" i="4"/>
  <c r="J36" i="4"/>
  <c r="E36" i="4"/>
  <c r="F36" i="4"/>
  <c r="G36" i="4"/>
  <c r="L34" i="4"/>
  <c r="J34" i="4"/>
  <c r="H34" i="4"/>
  <c r="G34" i="4"/>
  <c r="F34" i="4"/>
  <c r="E34" i="4"/>
  <c r="D34" i="4"/>
  <c r="P38" i="4"/>
  <c r="P37" i="4"/>
  <c r="P39" i="4"/>
  <c r="P36" i="4"/>
  <c r="P35" i="4"/>
  <c r="P40" i="4"/>
  <c r="F20" i="4"/>
  <c r="E20" i="4"/>
  <c r="D19" i="4"/>
  <c r="G20" i="4"/>
  <c r="G21" i="4"/>
  <c r="H20" i="4"/>
  <c r="I20" i="4" s="1"/>
  <c r="J20" i="4"/>
  <c r="K20" i="4" s="1"/>
  <c r="L21" i="4"/>
  <c r="M21" i="4" s="1"/>
  <c r="E19" i="4"/>
  <c r="J21" i="4"/>
  <c r="K21" i="4" s="1"/>
  <c r="H21" i="4"/>
  <c r="I21" i="4" s="1"/>
  <c r="M16" i="1"/>
  <c r="M13" i="1"/>
  <c r="M12" i="1"/>
  <c r="M8" i="1"/>
  <c r="M4" i="1"/>
  <c r="L4" i="1"/>
  <c r="M6" i="1"/>
  <c r="M15" i="1"/>
  <c r="M14" i="1"/>
  <c r="M10" i="1"/>
  <c r="M11" i="1"/>
  <c r="L5" i="1"/>
  <c r="L15" i="1"/>
  <c r="L11" i="1"/>
  <c r="L12" i="1"/>
  <c r="L14" i="1"/>
  <c r="L20" i="1"/>
  <c r="L13" i="1"/>
  <c r="L6" i="1"/>
  <c r="L7" i="1"/>
  <c r="L16" i="1"/>
  <c r="L17" i="1"/>
  <c r="L18" i="1"/>
  <c r="L19" i="1"/>
  <c r="L21" i="1"/>
  <c r="L22" i="1"/>
  <c r="L3" i="1"/>
  <c r="L23" i="1"/>
  <c r="L8" i="1"/>
  <c r="L9" i="1"/>
  <c r="L10" i="1"/>
  <c r="A21" i="4" l="1"/>
  <c r="A20" i="4"/>
  <c r="N21" i="4"/>
  <c r="O21" i="4"/>
  <c r="K37" i="4"/>
  <c r="L33" i="4"/>
  <c r="N33" i="4" s="1"/>
  <c r="Q37" i="4"/>
  <c r="N37" i="4"/>
  <c r="I40" i="4"/>
  <c r="I34" i="4"/>
  <c r="K40" i="4"/>
  <c r="K34" i="4"/>
  <c r="O40" i="4"/>
  <c r="K35" i="4"/>
  <c r="K36" i="4"/>
  <c r="O38" i="4"/>
  <c r="O35" i="4"/>
  <c r="Q39" i="4"/>
  <c r="I36" i="4"/>
  <c r="J33" i="4"/>
  <c r="O37" i="4"/>
  <c r="M34" i="4"/>
  <c r="F33" i="4"/>
  <c r="H33" i="4"/>
  <c r="G33" i="4"/>
  <c r="Q34" i="4"/>
  <c r="Q35" i="4"/>
  <c r="Q38" i="4"/>
  <c r="N35" i="4"/>
  <c r="Q40" i="4"/>
  <c r="Q36" i="4"/>
  <c r="M35" i="4"/>
  <c r="M38" i="4"/>
  <c r="N38" i="4"/>
  <c r="N34" i="4"/>
  <c r="O34" i="4"/>
  <c r="N40" i="4"/>
  <c r="M40" i="4"/>
  <c r="M36" i="4"/>
  <c r="O36" i="4"/>
  <c r="N36" i="4"/>
  <c r="A19" i="4"/>
  <c r="O33" i="4" l="1"/>
  <c r="M33" i="4"/>
  <c r="G18" i="1"/>
  <c r="G12" i="1"/>
  <c r="G4" i="1"/>
  <c r="G19" i="1"/>
  <c r="Q33" i="4"/>
  <c r="G7" i="1"/>
  <c r="K33" i="4"/>
  <c r="I33" i="4"/>
  <c r="G5" i="1"/>
  <c r="G13" i="1"/>
  <c r="G11" i="1"/>
  <c r="G17" i="1"/>
  <c r="G24" i="1"/>
  <c r="G21" i="1"/>
  <c r="G15" i="1"/>
  <c r="G23" i="1"/>
  <c r="G22" i="1"/>
  <c r="G16" i="1"/>
  <c r="G20" i="1"/>
  <c r="G3" i="1"/>
  <c r="G14" i="1"/>
  <c r="G10" i="1"/>
  <c r="G9" i="1"/>
  <c r="G8" i="1"/>
  <c r="G6" i="1"/>
</calcChain>
</file>

<file path=xl/sharedStrings.xml><?xml version="1.0" encoding="utf-8"?>
<sst xmlns="http://schemas.openxmlformats.org/spreadsheetml/2006/main" count="404" uniqueCount="138">
  <si>
    <t>Saihara</t>
  </si>
  <si>
    <t>El Juancho</t>
  </si>
  <si>
    <t>Tormen</t>
  </si>
  <si>
    <t>chatu</t>
  </si>
  <si>
    <t>AND</t>
  </si>
  <si>
    <t>DrWilty</t>
  </si>
  <si>
    <t>Azfalot</t>
  </si>
  <si>
    <t>Dalvila</t>
  </si>
  <si>
    <t>Narvex</t>
  </si>
  <si>
    <t>Mask</t>
  </si>
  <si>
    <t>Rin</t>
  </si>
  <si>
    <t>Saviir</t>
  </si>
  <si>
    <t>Traum</t>
  </si>
  <si>
    <t>Frewe10</t>
  </si>
  <si>
    <t>Foxy</t>
  </si>
  <si>
    <t>Dinokami</t>
  </si>
  <si>
    <t>Leboxi</t>
  </si>
  <si>
    <t>Player</t>
  </si>
  <si>
    <t>Raw H2H Score</t>
  </si>
  <si>
    <t>Fixed H2H Score</t>
  </si>
  <si>
    <t>19 base</t>
  </si>
  <si>
    <t>diff</t>
  </si>
  <si>
    <t>16+top30+top100</t>
  </si>
  <si>
    <t>19+top100</t>
  </si>
  <si>
    <t>16 base?</t>
  </si>
  <si>
    <t>Torneo</t>
  </si>
  <si>
    <t>Score</t>
  </si>
  <si>
    <t>Entrants</t>
  </si>
  <si>
    <t>gafce</t>
  </si>
  <si>
    <t>Total</t>
  </si>
  <si>
    <t>&lt;8 entrants</t>
  </si>
  <si>
    <t>&lt;16 entrants</t>
  </si>
  <si>
    <t>Score/entrant</t>
  </si>
  <si>
    <t>Score total</t>
  </si>
  <si>
    <t>Suma valores</t>
  </si>
  <si>
    <t>&gt;=16 entrants</t>
  </si>
  <si>
    <t>Neo Sunnyside #8</t>
  </si>
  <si>
    <t>Joseja (?)</t>
  </si>
  <si>
    <t>MaraSmash 8</t>
  </si>
  <si>
    <t>Isma (?)</t>
  </si>
  <si>
    <t>16 base real (1a mitad 2023)</t>
  </si>
  <si>
    <t>Sunnyside Express #21</t>
  </si>
  <si>
    <t>BG Tilts &amp; Taunts 2 (18 sin dqs)</t>
  </si>
  <si>
    <t>Odin Summer Weekly #55</t>
  </si>
  <si>
    <t>ZeShi (100), Xiorad (100)</t>
  </si>
  <si>
    <t>21 supongo?</t>
  </si>
  <si>
    <t>1 entrant =</t>
  </si>
  <si>
    <t>Scores fixed</t>
  </si>
  <si>
    <t>Raw Results Score</t>
  </si>
  <si>
    <t>Fixed Results Score</t>
  </si>
  <si>
    <t>Top ordenado actualmente</t>
  </si>
  <si>
    <t>Entre la season 5 SBS y season 6 se incrementó el score de los primeros 48 entrants, haciendo que los torneos pequeños generasen más puntos más rápido</t>
  </si>
  <si>
    <t>Diexter</t>
  </si>
  <si>
    <t>Adryx</t>
  </si>
  <si>
    <t>Sombreitor</t>
  </si>
  <si>
    <t>Nycolast</t>
  </si>
  <si>
    <t>EnzoAR</t>
  </si>
  <si>
    <t>Gzuto</t>
  </si>
  <si>
    <t>Jalonso</t>
  </si>
  <si>
    <t>Hanival15</t>
  </si>
  <si>
    <t>AoT</t>
  </si>
  <si>
    <t>CoD5</t>
  </si>
  <si>
    <t>Plátano</t>
  </si>
  <si>
    <t>CoD6</t>
  </si>
  <si>
    <t>CoD7</t>
  </si>
  <si>
    <t>Caparazón</t>
  </si>
  <si>
    <t>CoD8</t>
  </si>
  <si>
    <t>CoD9</t>
  </si>
  <si>
    <t>Tier B</t>
  </si>
  <si>
    <t>Tier C</t>
  </si>
  <si>
    <t>&gt;=24 entrants</t>
  </si>
  <si>
    <t>Scisto</t>
  </si>
  <si>
    <t>Osoman</t>
  </si>
  <si>
    <t>Utop-ian</t>
  </si>
  <si>
    <t>JupiNya</t>
  </si>
  <si>
    <t>Molo</t>
  </si>
  <si>
    <t>BlackLoner</t>
  </si>
  <si>
    <t>pepe star fox</t>
  </si>
  <si>
    <t>esca</t>
  </si>
  <si>
    <t>Dabif</t>
  </si>
  <si>
    <t>RamonWars</t>
  </si>
  <si>
    <t>Zant</t>
  </si>
  <si>
    <t>Lokilla</t>
  </si>
  <si>
    <t>Andhi</t>
  </si>
  <si>
    <t>DjMon</t>
  </si>
  <si>
    <t>Patrick</t>
  </si>
  <si>
    <t>Pope</t>
  </si>
  <si>
    <t>Ego</t>
  </si>
  <si>
    <t>Fontz</t>
  </si>
  <si>
    <t>Golo</t>
  </si>
  <si>
    <t>Kuriso</t>
  </si>
  <si>
    <t>Ivol</t>
  </si>
  <si>
    <t>angeloti12</t>
  </si>
  <si>
    <t>raishack</t>
  </si>
  <si>
    <t>RedKenku</t>
  </si>
  <si>
    <t>Jorgito</t>
  </si>
  <si>
    <t>AGITO</t>
  </si>
  <si>
    <t>Zuka</t>
  </si>
  <si>
    <t>Ch1ris</t>
  </si>
  <si>
    <t>Lonson</t>
  </si>
  <si>
    <t>Soulsilver</t>
  </si>
  <si>
    <t>Vemax</t>
  </si>
  <si>
    <t>Cate</t>
  </si>
  <si>
    <t>Hakko</t>
  </si>
  <si>
    <t>Ainhi</t>
  </si>
  <si>
    <t>Eduardo</t>
  </si>
  <si>
    <t>Frey</t>
  </si>
  <si>
    <t>Divain</t>
  </si>
  <si>
    <t>Egotzon</t>
  </si>
  <si>
    <t>Edu</t>
  </si>
  <si>
    <t>Ruben04</t>
  </si>
  <si>
    <t>Minix10</t>
  </si>
  <si>
    <t>Falkko</t>
  </si>
  <si>
    <t>DaniGetto</t>
  </si>
  <si>
    <t>Cacamot</t>
  </si>
  <si>
    <t>aajuñiga</t>
  </si>
  <si>
    <t>rmoragar</t>
  </si>
  <si>
    <t>Default</t>
  </si>
  <si>
    <t>ElCope</t>
  </si>
  <si>
    <t>ad99</t>
  </si>
  <si>
    <t>Cris284</t>
  </si>
  <si>
    <t>Edu 024</t>
  </si>
  <si>
    <t>GodT</t>
  </si>
  <si>
    <t>Pichuru</t>
  </si>
  <si>
    <t>ML41</t>
  </si>
  <si>
    <t>Sabo</t>
  </si>
  <si>
    <t>AngelDust</t>
  </si>
  <si>
    <t>Kaori</t>
  </si>
  <si>
    <t>Rex suzuki</t>
  </si>
  <si>
    <t>8-15 entrants</t>
  </si>
  <si>
    <t>16-23 entrants</t>
  </si>
  <si>
    <t>24-32 entrants</t>
  </si>
  <si>
    <t>Método 1</t>
  </si>
  <si>
    <t>Método 2</t>
  </si>
  <si>
    <t>Total 3 mejores</t>
  </si>
  <si>
    <t>Arknights of Terra (0%)</t>
  </si>
  <si>
    <t>Results (85%)</t>
  </si>
  <si>
    <t>H2H (15%)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</si>
</sst>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right"/>
    </xf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AC36-48E3-46BF-9D9E-927B5EEB8933}">
  <dimension ref="A2:Q49"/>
  <sheetViews>
    <sheetView tabSelected="1" topLeftCell="A16" workbookViewId="0">
      <selection activeCell="B45" sqref="B45"/>
    </sheetView>
  </sheetViews>
  <sheetFormatPr baseColWidth="10" defaultRowHeight="15" x14ac:dyDescent="0.25"/>
  <sheetData>
    <row r="2" spans="2:17" x14ac:dyDescent="0.25">
      <c r="B2" t="s">
        <v>17</v>
      </c>
      <c r="C2" t="s">
        <v>137</v>
      </c>
      <c r="D2" t="s">
        <v>136</v>
      </c>
      <c r="E2" t="s">
        <v>135</v>
      </c>
      <c r="G2" t="s">
        <v>29</v>
      </c>
      <c r="J2" t="s">
        <v>18</v>
      </c>
      <c r="L2" t="s">
        <v>19</v>
      </c>
      <c r="O2" t="s">
        <v>48</v>
      </c>
      <c r="Q2" t="s">
        <v>49</v>
      </c>
    </row>
    <row r="3" spans="2:17" x14ac:dyDescent="0.25">
      <c r="B3" t="s">
        <v>0</v>
      </c>
      <c r="C3">
        <f>L3*0.15</f>
        <v>15</v>
      </c>
      <c r="D3">
        <f>Q3*0.85</f>
        <v>85</v>
      </c>
      <c r="G3">
        <f t="shared" ref="G3:G24" si="0">C3+D3+E3</f>
        <v>100</v>
      </c>
      <c r="H3" s="1">
        <v>1</v>
      </c>
      <c r="J3" s="4">
        <f>PuntosBraacket!B1</f>
        <v>6058</v>
      </c>
      <c r="L3">
        <f>(J3*100/J3)</f>
        <v>100</v>
      </c>
      <c r="O3">
        <f>PlayerResults!B40</f>
        <v>1534.5</v>
      </c>
      <c r="Q3">
        <f>(O3*100)/$O$3</f>
        <v>100</v>
      </c>
    </row>
    <row r="4" spans="2:17" x14ac:dyDescent="0.25">
      <c r="B4" t="s">
        <v>1</v>
      </c>
      <c r="C4">
        <f t="shared" ref="C4:C24" si="1">L4*0.15</f>
        <v>14.041762958071972</v>
      </c>
      <c r="D4">
        <f t="shared" ref="D4:D24" si="2">Q4*0.85</f>
        <v>79.820788530465947</v>
      </c>
      <c r="G4">
        <f t="shared" si="0"/>
        <v>93.862551488537918</v>
      </c>
      <c r="H4" s="1">
        <v>2</v>
      </c>
      <c r="J4">
        <f>PuntosBraacket!B2</f>
        <v>5671</v>
      </c>
      <c r="L4">
        <f>(J4*100/J3)</f>
        <v>93.611753053813146</v>
      </c>
      <c r="M4">
        <f t="shared" ref="M4:M24" si="3">(J4*100)/$J$4</f>
        <v>100</v>
      </c>
      <c r="O4">
        <f>PlayerResults!C40</f>
        <v>1441</v>
      </c>
      <c r="Q4">
        <f>(O4*100)/$O$3</f>
        <v>93.906810035842298</v>
      </c>
    </row>
    <row r="5" spans="2:17" x14ac:dyDescent="0.25">
      <c r="B5" t="s">
        <v>2</v>
      </c>
      <c r="C5">
        <f t="shared" si="1"/>
        <v>12.932485968966656</v>
      </c>
      <c r="D5">
        <f t="shared" si="2"/>
        <v>61.51352231997393</v>
      </c>
      <c r="G5">
        <f t="shared" si="0"/>
        <v>74.44600828894059</v>
      </c>
      <c r="H5" s="1">
        <v>3</v>
      </c>
      <c r="J5">
        <f>PuntosBraacket!B3</f>
        <v>5223</v>
      </c>
      <c r="L5">
        <f>(J5*100/J3)</f>
        <v>86.216573126444374</v>
      </c>
      <c r="M5">
        <f t="shared" si="3"/>
        <v>92.100158702168926</v>
      </c>
      <c r="O5">
        <f>PlayerResults!D40</f>
        <v>1110.5</v>
      </c>
      <c r="Q5">
        <f t="shared" ref="Q5:Q24" si="4">(O5*100)/$O$3</f>
        <v>72.368849788204628</v>
      </c>
    </row>
    <row r="6" spans="2:17" x14ac:dyDescent="0.25">
      <c r="B6" t="s">
        <v>3</v>
      </c>
      <c r="C6">
        <f t="shared" si="1"/>
        <v>12.103004291845494</v>
      </c>
      <c r="D6">
        <f t="shared" si="2"/>
        <v>47.097588791137177</v>
      </c>
      <c r="G6">
        <f t="shared" si="0"/>
        <v>59.200593082982671</v>
      </c>
      <c r="H6" s="1">
        <v>4</v>
      </c>
      <c r="J6">
        <f>PuntosBraacket!B4</f>
        <v>4888</v>
      </c>
      <c r="L6">
        <f>(J6*100/J3)</f>
        <v>80.686695278969964</v>
      </c>
      <c r="M6">
        <f t="shared" si="3"/>
        <v>86.192911303121136</v>
      </c>
      <c r="O6">
        <f>PlayerResults!E40</f>
        <v>850.25</v>
      </c>
      <c r="Q6">
        <f t="shared" si="4"/>
        <v>55.408927989573151</v>
      </c>
    </row>
    <row r="7" spans="2:17" x14ac:dyDescent="0.25">
      <c r="B7" t="s">
        <v>4</v>
      </c>
      <c r="C7">
        <f t="shared" si="1"/>
        <v>11.545889732585012</v>
      </c>
      <c r="D7">
        <f t="shared" si="2"/>
        <v>41.807592049527528</v>
      </c>
      <c r="G7">
        <f t="shared" si="0"/>
        <v>53.353481782112539</v>
      </c>
      <c r="H7" s="1">
        <v>5</v>
      </c>
      <c r="J7">
        <f>PuntosBraacket!B5</f>
        <v>4663</v>
      </c>
      <c r="L7">
        <f>(J7*100/J3)</f>
        <v>76.972598217233411</v>
      </c>
      <c r="M7">
        <f t="shared" si="3"/>
        <v>82.225357079880098</v>
      </c>
      <c r="O7">
        <f>PlayerResults!F40</f>
        <v>754.75</v>
      </c>
      <c r="Q7">
        <f t="shared" si="4"/>
        <v>49.185402411208862</v>
      </c>
    </row>
    <row r="8" spans="2:17" x14ac:dyDescent="0.25">
      <c r="B8" t="s">
        <v>7</v>
      </c>
      <c r="C8">
        <f t="shared" si="1"/>
        <v>9.4734235721360189</v>
      </c>
      <c r="D8">
        <f t="shared" si="2"/>
        <v>30.396709025741284</v>
      </c>
      <c r="G8">
        <f t="shared" si="0"/>
        <v>39.870132597877301</v>
      </c>
      <c r="H8" s="1">
        <v>6</v>
      </c>
      <c r="J8">
        <f>PuntosBraacket!B6</f>
        <v>3826</v>
      </c>
      <c r="L8">
        <f>(J8*100/J3)</f>
        <v>63.15615714757346</v>
      </c>
      <c r="M8">
        <f t="shared" si="3"/>
        <v>67.466055369423387</v>
      </c>
      <c r="O8">
        <f>PlayerResults!G40</f>
        <v>548.75</v>
      </c>
      <c r="Q8">
        <f t="shared" si="4"/>
        <v>35.760834147930922</v>
      </c>
    </row>
    <row r="9" spans="2:17" x14ac:dyDescent="0.25">
      <c r="B9" t="s">
        <v>8</v>
      </c>
      <c r="C9">
        <f t="shared" si="1"/>
        <v>8.9311654011224828</v>
      </c>
      <c r="D9">
        <f t="shared" si="2"/>
        <v>29.275008145975885</v>
      </c>
      <c r="G9">
        <f t="shared" si="0"/>
        <v>38.206173547098366</v>
      </c>
      <c r="H9" s="1">
        <v>7</v>
      </c>
      <c r="J9">
        <f>PuntosBraacket!B7</f>
        <v>3607</v>
      </c>
      <c r="L9">
        <f>(J9*100/J3)</f>
        <v>59.541102674149883</v>
      </c>
      <c r="M9">
        <f t="shared" si="3"/>
        <v>63.604302592135426</v>
      </c>
      <c r="O9">
        <f>PlayerResults!H40</f>
        <v>528.5</v>
      </c>
      <c r="Q9">
        <f t="shared" si="4"/>
        <v>34.441186054089279</v>
      </c>
    </row>
    <row r="10" spans="2:17" x14ac:dyDescent="0.25">
      <c r="B10" t="s">
        <v>52</v>
      </c>
      <c r="C10">
        <f t="shared" si="1"/>
        <v>8.349290194783757</v>
      </c>
      <c r="D10">
        <f t="shared" si="2"/>
        <v>15.634571521668294</v>
      </c>
      <c r="G10">
        <f t="shared" si="0"/>
        <v>23.983861716452051</v>
      </c>
      <c r="H10" s="1">
        <v>9</v>
      </c>
      <c r="J10">
        <f>PuntosBraacket!B8</f>
        <v>3372</v>
      </c>
      <c r="L10">
        <f>(J10*100/J3)</f>
        <v>55.661934631891711</v>
      </c>
      <c r="M10">
        <f t="shared" si="3"/>
        <v>59.460412625639215</v>
      </c>
      <c r="O10">
        <f>PlayerResults!I40</f>
        <v>282.25</v>
      </c>
      <c r="Q10">
        <f t="shared" si="4"/>
        <v>18.393613554903876</v>
      </c>
    </row>
    <row r="11" spans="2:17" x14ac:dyDescent="0.25">
      <c r="B11" t="s">
        <v>9</v>
      </c>
      <c r="C11">
        <f t="shared" si="1"/>
        <v>8.230439088808188</v>
      </c>
      <c r="D11">
        <f t="shared" si="2"/>
        <v>20.896871945259043</v>
      </c>
      <c r="G11">
        <f t="shared" si="0"/>
        <v>29.127311034067233</v>
      </c>
      <c r="H11" s="1">
        <v>8</v>
      </c>
      <c r="J11">
        <f>PuntosBraacket!B9</f>
        <v>3324</v>
      </c>
      <c r="L11">
        <f>(J11*100/J3)</f>
        <v>54.869593925387917</v>
      </c>
      <c r="M11">
        <f t="shared" si="3"/>
        <v>58.614001058014459</v>
      </c>
      <c r="O11">
        <f>PlayerResults!J40</f>
        <v>377.25</v>
      </c>
      <c r="Q11">
        <f t="shared" si="4"/>
        <v>24.584555229716521</v>
      </c>
    </row>
    <row r="12" spans="2:17" x14ac:dyDescent="0.25">
      <c r="B12" t="s">
        <v>5</v>
      </c>
      <c r="C12">
        <f t="shared" si="1"/>
        <v>7.1805876526906571</v>
      </c>
      <c r="D12">
        <f t="shared" si="2"/>
        <v>15.613799283154121</v>
      </c>
      <c r="G12">
        <f t="shared" si="0"/>
        <v>22.794386935844777</v>
      </c>
      <c r="H12" s="1">
        <v>10</v>
      </c>
      <c r="J12">
        <f>PuntosBraacket!B10</f>
        <v>2900</v>
      </c>
      <c r="L12">
        <f>(J12*100/J3)</f>
        <v>47.870584351271049</v>
      </c>
      <c r="M12">
        <f t="shared" si="3"/>
        <v>51.13736554399577</v>
      </c>
      <c r="O12">
        <f>PlayerResults!K40</f>
        <v>281.875</v>
      </c>
      <c r="Q12">
        <f t="shared" si="4"/>
        <v>18.369175627240143</v>
      </c>
    </row>
    <row r="13" spans="2:17" x14ac:dyDescent="0.25">
      <c r="B13" t="s">
        <v>11</v>
      </c>
      <c r="C13">
        <f t="shared" si="1"/>
        <v>6.4551006932981183</v>
      </c>
      <c r="D13">
        <f t="shared" si="2"/>
        <v>11.244705115672858</v>
      </c>
      <c r="G13">
        <f t="shared" si="0"/>
        <v>17.699805808970975</v>
      </c>
      <c r="H13" s="1">
        <v>11</v>
      </c>
      <c r="J13">
        <f>PuntosBraacket!B11</f>
        <v>2607</v>
      </c>
      <c r="L13">
        <f>(J13*100/J3)</f>
        <v>43.034004621987457</v>
      </c>
      <c r="M13">
        <f t="shared" si="3"/>
        <v>45.970728266619645</v>
      </c>
      <c r="O13">
        <f>PlayerResults!L40</f>
        <v>203</v>
      </c>
      <c r="Q13">
        <f t="shared" si="4"/>
        <v>13.229064841968068</v>
      </c>
    </row>
    <row r="14" spans="2:17" x14ac:dyDescent="0.25">
      <c r="B14" t="s">
        <v>10</v>
      </c>
      <c r="C14">
        <f t="shared" si="1"/>
        <v>5.7791350280620666</v>
      </c>
      <c r="D14">
        <f t="shared" si="2"/>
        <v>11.217008797653959</v>
      </c>
      <c r="G14">
        <f t="shared" si="0"/>
        <v>16.996143825716025</v>
      </c>
      <c r="H14" s="1">
        <v>12</v>
      </c>
      <c r="J14">
        <f>PuntosBraacket!B12</f>
        <v>2334</v>
      </c>
      <c r="L14">
        <f>(J14*100/J3)</f>
        <v>38.527566853747111</v>
      </c>
      <c r="M14">
        <f t="shared" si="3"/>
        <v>41.156762475753837</v>
      </c>
      <c r="O14">
        <f>PlayerResults!M40</f>
        <v>202.5</v>
      </c>
      <c r="Q14">
        <f>(O14*100)/$O$3</f>
        <v>13.196480938416423</v>
      </c>
    </row>
    <row r="15" spans="2:17" x14ac:dyDescent="0.25">
      <c r="B15" t="s">
        <v>103</v>
      </c>
      <c r="C15">
        <f t="shared" si="1"/>
        <v>5.333443380653681</v>
      </c>
      <c r="D15">
        <f t="shared" si="2"/>
        <v>8.3573639622026725</v>
      </c>
      <c r="G15">
        <f t="shared" si="0"/>
        <v>13.690807342856353</v>
      </c>
      <c r="H15" s="1">
        <v>13</v>
      </c>
      <c r="J15">
        <f>PuntosBraacket!B13</f>
        <v>2154</v>
      </c>
      <c r="L15">
        <f>(J15*100/J3)</f>
        <v>35.556289204357874</v>
      </c>
      <c r="M15">
        <f t="shared" si="3"/>
        <v>37.982719097160995</v>
      </c>
      <c r="O15">
        <f>PlayerResults!N40</f>
        <v>150.875</v>
      </c>
      <c r="Q15">
        <f t="shared" si="4"/>
        <v>9.8321928967090262</v>
      </c>
    </row>
    <row r="16" spans="2:17" x14ac:dyDescent="0.25">
      <c r="B16" t="s">
        <v>53</v>
      </c>
      <c r="C16">
        <f t="shared" si="1"/>
        <v>5.333443380653681</v>
      </c>
      <c r="D16">
        <f t="shared" si="2"/>
        <v>12.401026392961876</v>
      </c>
      <c r="G16">
        <f t="shared" si="0"/>
        <v>17.734469773615558</v>
      </c>
      <c r="H16" s="1">
        <v>14</v>
      </c>
      <c r="J16">
        <f>PuntosBraacket!B14</f>
        <v>2154</v>
      </c>
      <c r="L16">
        <f>(J16*100/J3)</f>
        <v>35.556289204357874</v>
      </c>
      <c r="M16">
        <f t="shared" si="3"/>
        <v>37.982719097160995</v>
      </c>
      <c r="O16">
        <f>PlayerResults!O40</f>
        <v>223.875</v>
      </c>
      <c r="Q16">
        <f>(O16*100)/$O$3</f>
        <v>14.589442815249267</v>
      </c>
    </row>
    <row r="17" spans="1:17" x14ac:dyDescent="0.25">
      <c r="B17" t="s">
        <v>54</v>
      </c>
      <c r="C17">
        <f t="shared" si="1"/>
        <v>5.2542093100033016</v>
      </c>
      <c r="D17">
        <f t="shared" si="2"/>
        <v>10.275333985011404</v>
      </c>
      <c r="G17">
        <f t="shared" si="0"/>
        <v>15.529543295014705</v>
      </c>
      <c r="H17" s="1">
        <v>15</v>
      </c>
      <c r="J17">
        <f>PuntosBraacket!B15</f>
        <v>2122</v>
      </c>
      <c r="L17">
        <f>(J17*100/J3)</f>
        <v>35.028062066688676</v>
      </c>
      <c r="M17">
        <f t="shared" si="3"/>
        <v>37.418444718744489</v>
      </c>
      <c r="O17">
        <f>PlayerResults!P40</f>
        <v>185.5</v>
      </c>
      <c r="Q17">
        <f t="shared" si="4"/>
        <v>12.088628217660476</v>
      </c>
    </row>
    <row r="18" spans="1:17" x14ac:dyDescent="0.25">
      <c r="B18" t="s">
        <v>55</v>
      </c>
      <c r="C18">
        <f t="shared" si="1"/>
        <v>5.1774513040607468</v>
      </c>
      <c r="D18">
        <f t="shared" si="2"/>
        <v>7.9211469534050174</v>
      </c>
      <c r="G18">
        <f t="shared" si="0"/>
        <v>13.098598257465763</v>
      </c>
      <c r="H18" s="1">
        <v>16</v>
      </c>
      <c r="J18">
        <f>PuntosBraacket!B16</f>
        <v>2091</v>
      </c>
      <c r="L18">
        <f>(J18*100/J3)</f>
        <v>34.516342027071644</v>
      </c>
      <c r="M18">
        <f t="shared" si="3"/>
        <v>36.871803914653498</v>
      </c>
      <c r="O18">
        <f>PlayerResults!Q40</f>
        <v>143</v>
      </c>
      <c r="Q18">
        <f t="shared" si="4"/>
        <v>9.3189964157706093</v>
      </c>
    </row>
    <row r="19" spans="1:17" x14ac:dyDescent="0.25">
      <c r="B19" t="s">
        <v>56</v>
      </c>
      <c r="C19">
        <f t="shared" si="1"/>
        <v>5.0115549686365135</v>
      </c>
      <c r="D19">
        <f t="shared" si="2"/>
        <v>8.2188823721081778</v>
      </c>
      <c r="G19">
        <f t="shared" si="0"/>
        <v>13.230437340744691</v>
      </c>
      <c r="H19" s="1">
        <v>17</v>
      </c>
      <c r="J19">
        <f>PuntosBraacket!B17</f>
        <v>2024</v>
      </c>
      <c r="L19">
        <f>(J19*100/J3)</f>
        <v>33.410366457576757</v>
      </c>
      <c r="M19">
        <f t="shared" si="3"/>
        <v>35.69035443484394</v>
      </c>
      <c r="O19">
        <f>PlayerResults!R40</f>
        <v>148.375</v>
      </c>
      <c r="Q19">
        <f t="shared" si="4"/>
        <v>9.6692733789507983</v>
      </c>
    </row>
    <row r="20" spans="1:17" x14ac:dyDescent="0.25">
      <c r="B20" t="s">
        <v>57</v>
      </c>
      <c r="C20">
        <f t="shared" si="1"/>
        <v>4.6252888742159133</v>
      </c>
      <c r="D20">
        <f t="shared" si="2"/>
        <v>5.9547083740632125</v>
      </c>
      <c r="G20">
        <f t="shared" si="0"/>
        <v>10.579997248279126</v>
      </c>
      <c r="H20" s="1">
        <v>18</v>
      </c>
      <c r="J20">
        <f>PuntosBraacket!B18</f>
        <v>1868</v>
      </c>
      <c r="L20">
        <f>(J20*100/J3)</f>
        <v>30.835259161439421</v>
      </c>
      <c r="M20">
        <f t="shared" si="3"/>
        <v>32.939516840063483</v>
      </c>
      <c r="O20">
        <f>PlayerResults!S40</f>
        <v>107.5</v>
      </c>
      <c r="Q20">
        <f t="shared" si="4"/>
        <v>7.0055392636037794</v>
      </c>
    </row>
    <row r="21" spans="1:17" x14ac:dyDescent="0.25">
      <c r="B21" t="s">
        <v>58</v>
      </c>
      <c r="C21">
        <f t="shared" si="1"/>
        <v>3.7636183558930338</v>
      </c>
      <c r="D21">
        <f t="shared" si="2"/>
        <v>2.2364776800260673</v>
      </c>
      <c r="G21">
        <f t="shared" si="0"/>
        <v>6.0000960359191016</v>
      </c>
      <c r="H21" s="1">
        <v>19</v>
      </c>
      <c r="J21">
        <f>PuntosBraacket!B19</f>
        <v>1520</v>
      </c>
      <c r="L21">
        <f>(J21*100/J3)</f>
        <v>25.090789039286893</v>
      </c>
      <c r="M21">
        <f t="shared" si="3"/>
        <v>26.803032974783989</v>
      </c>
      <c r="O21">
        <f>PlayerResults!T40</f>
        <v>40.375</v>
      </c>
      <c r="Q21">
        <f t="shared" si="4"/>
        <v>2.6311502117953731</v>
      </c>
    </row>
    <row r="22" spans="1:17" x14ac:dyDescent="0.25">
      <c r="B22" t="s">
        <v>13</v>
      </c>
      <c r="C22">
        <f t="shared" si="1"/>
        <v>3.3748761967646086</v>
      </c>
      <c r="D22">
        <f t="shared" si="2"/>
        <v>7.8311339198435972</v>
      </c>
      <c r="G22">
        <f t="shared" si="0"/>
        <v>11.206010116608205</v>
      </c>
      <c r="H22" s="1">
        <v>20</v>
      </c>
      <c r="J22">
        <f>PuntosBraacket!B20</f>
        <v>1363</v>
      </c>
      <c r="L22">
        <f>(J22*100/J3)</f>
        <v>22.499174645097391</v>
      </c>
      <c r="M22">
        <f t="shared" si="3"/>
        <v>24.03456180567801</v>
      </c>
      <c r="O22">
        <f>PlayerResults!U40</f>
        <v>141.375</v>
      </c>
      <c r="Q22">
        <f t="shared" si="4"/>
        <v>9.2130987292277613</v>
      </c>
    </row>
    <row r="23" spans="1:17" x14ac:dyDescent="0.25">
      <c r="B23" t="s">
        <v>12</v>
      </c>
      <c r="C23">
        <f t="shared" si="1"/>
        <v>3.362495873225487</v>
      </c>
      <c r="D23">
        <f t="shared" si="2"/>
        <v>2.2364776800260673</v>
      </c>
      <c r="G23">
        <f t="shared" si="0"/>
        <v>5.5989735532515539</v>
      </c>
      <c r="H23" s="1">
        <v>21</v>
      </c>
      <c r="J23">
        <f>PuntosBraacket!B21</f>
        <v>1358</v>
      </c>
      <c r="L23">
        <f>(J23*100/J3)</f>
        <v>22.416639154836581</v>
      </c>
      <c r="M23">
        <f t="shared" si="3"/>
        <v>23.94639393405043</v>
      </c>
      <c r="O23">
        <f>PlayerResults!V40</f>
        <v>40.375</v>
      </c>
      <c r="Q23">
        <f t="shared" si="4"/>
        <v>2.6311502117953731</v>
      </c>
    </row>
    <row r="24" spans="1:17" x14ac:dyDescent="0.25">
      <c r="B24" t="s">
        <v>59</v>
      </c>
      <c r="C24">
        <f t="shared" si="1"/>
        <v>3.155528125551049</v>
      </c>
      <c r="D24">
        <f t="shared" si="2"/>
        <v>5.1999837080482241</v>
      </c>
      <c r="G24">
        <f t="shared" si="0"/>
        <v>8.3555118335992731</v>
      </c>
      <c r="H24" s="1">
        <v>22</v>
      </c>
      <c r="J24">
        <f>PuntosBraacket!B22</f>
        <v>1193</v>
      </c>
      <c r="L24">
        <f>(J24*100/J4)</f>
        <v>21.036854170340327</v>
      </c>
      <c r="M24">
        <f t="shared" si="3"/>
        <v>21.036854170340327</v>
      </c>
      <c r="O24">
        <f>PlayerResults!W40</f>
        <v>93.875</v>
      </c>
      <c r="Q24">
        <f t="shared" si="4"/>
        <v>6.1176278918214404</v>
      </c>
    </row>
    <row r="27" spans="1:17" x14ac:dyDescent="0.25">
      <c r="B27" t="s">
        <v>50</v>
      </c>
    </row>
    <row r="28" spans="1:17" x14ac:dyDescent="0.25">
      <c r="A28" s="1">
        <v>1</v>
      </c>
      <c r="B28" t="s">
        <v>0</v>
      </c>
      <c r="D28">
        <v>100</v>
      </c>
    </row>
    <row r="29" spans="1:17" x14ac:dyDescent="0.25">
      <c r="A29" s="1">
        <v>2</v>
      </c>
      <c r="B29" t="s">
        <v>1</v>
      </c>
      <c r="D29">
        <v>93.862551488537918</v>
      </c>
    </row>
    <row r="30" spans="1:17" x14ac:dyDescent="0.25">
      <c r="A30" s="1">
        <v>3</v>
      </c>
      <c r="B30" t="s">
        <v>2</v>
      </c>
      <c r="D30">
        <v>74.44600828894059</v>
      </c>
    </row>
    <row r="31" spans="1:17" x14ac:dyDescent="0.25">
      <c r="A31" s="1">
        <v>4</v>
      </c>
      <c r="B31" t="s">
        <v>3</v>
      </c>
      <c r="D31">
        <v>59.200593082982671</v>
      </c>
    </row>
    <row r="32" spans="1:17" x14ac:dyDescent="0.25">
      <c r="A32" s="1">
        <v>5</v>
      </c>
      <c r="B32" t="s">
        <v>4</v>
      </c>
      <c r="D32">
        <v>53.353481782112539</v>
      </c>
    </row>
    <row r="33" spans="1:4" x14ac:dyDescent="0.25">
      <c r="A33" s="1">
        <v>6</v>
      </c>
      <c r="B33" t="s">
        <v>7</v>
      </c>
      <c r="D33">
        <v>39.870132597877301</v>
      </c>
    </row>
    <row r="34" spans="1:4" x14ac:dyDescent="0.25">
      <c r="A34" s="1">
        <v>7</v>
      </c>
      <c r="B34" t="s">
        <v>8</v>
      </c>
      <c r="D34">
        <v>38.206173547098366</v>
      </c>
    </row>
    <row r="35" spans="1:4" x14ac:dyDescent="0.25">
      <c r="A35" s="1">
        <v>8</v>
      </c>
      <c r="B35" t="s">
        <v>9</v>
      </c>
      <c r="D35">
        <v>29.127311034067233</v>
      </c>
    </row>
    <row r="36" spans="1:4" x14ac:dyDescent="0.25">
      <c r="A36" s="1">
        <v>9</v>
      </c>
      <c r="B36" t="s">
        <v>52</v>
      </c>
      <c r="D36">
        <v>23.983861716452051</v>
      </c>
    </row>
    <row r="37" spans="1:4" x14ac:dyDescent="0.25">
      <c r="A37" s="1">
        <v>10</v>
      </c>
      <c r="B37" t="s">
        <v>5</v>
      </c>
      <c r="D37">
        <v>22.794386935844777</v>
      </c>
    </row>
    <row r="38" spans="1:4" x14ac:dyDescent="0.25">
      <c r="A38" s="1">
        <v>11</v>
      </c>
      <c r="B38" t="s">
        <v>53</v>
      </c>
      <c r="D38">
        <v>17.734469773615558</v>
      </c>
    </row>
    <row r="39" spans="1:4" x14ac:dyDescent="0.25">
      <c r="A39" s="1">
        <v>12</v>
      </c>
      <c r="B39" t="s">
        <v>11</v>
      </c>
      <c r="D39">
        <v>17.699805808970975</v>
      </c>
    </row>
    <row r="40" spans="1:4" x14ac:dyDescent="0.25">
      <c r="A40" s="1">
        <v>13</v>
      </c>
      <c r="B40" t="s">
        <v>10</v>
      </c>
      <c r="D40">
        <v>16.996143825716025</v>
      </c>
    </row>
    <row r="41" spans="1:4" x14ac:dyDescent="0.25">
      <c r="A41" s="1">
        <v>14</v>
      </c>
      <c r="B41" t="s">
        <v>54</v>
      </c>
      <c r="D41">
        <v>15.529543295014705</v>
      </c>
    </row>
    <row r="42" spans="1:4" x14ac:dyDescent="0.25">
      <c r="A42" s="1">
        <v>15</v>
      </c>
      <c r="B42" s="7" t="s">
        <v>103</v>
      </c>
      <c r="D42">
        <v>13.690807342856353</v>
      </c>
    </row>
    <row r="43" spans="1:4" x14ac:dyDescent="0.25">
      <c r="A43" s="1">
        <v>16</v>
      </c>
      <c r="B43" t="s">
        <v>56</v>
      </c>
      <c r="D43">
        <v>13.230437340744691</v>
      </c>
    </row>
    <row r="44" spans="1:4" x14ac:dyDescent="0.25">
      <c r="A44" s="1">
        <v>17</v>
      </c>
      <c r="B44" t="s">
        <v>55</v>
      </c>
      <c r="D44">
        <v>13.098598257465763</v>
      </c>
    </row>
    <row r="45" spans="1:4" x14ac:dyDescent="0.25">
      <c r="A45" s="1">
        <v>18</v>
      </c>
      <c r="B45" t="s">
        <v>13</v>
      </c>
      <c r="D45">
        <v>11.206010116608205</v>
      </c>
    </row>
    <row r="46" spans="1:4" x14ac:dyDescent="0.25">
      <c r="A46" s="1">
        <v>19</v>
      </c>
      <c r="B46" s="7" t="s">
        <v>57</v>
      </c>
      <c r="D46">
        <v>10.579997248279126</v>
      </c>
    </row>
    <row r="47" spans="1:4" x14ac:dyDescent="0.25">
      <c r="A47" s="1">
        <v>20</v>
      </c>
      <c r="B47" t="s">
        <v>59</v>
      </c>
      <c r="D47">
        <v>8.3555118335992731</v>
      </c>
    </row>
    <row r="48" spans="1:4" x14ac:dyDescent="0.25">
      <c r="A48" s="1">
        <v>21</v>
      </c>
      <c r="B48" s="7" t="s">
        <v>58</v>
      </c>
      <c r="D48">
        <v>6.0000960359191016</v>
      </c>
    </row>
    <row r="49" spans="1:4" x14ac:dyDescent="0.25">
      <c r="A49" s="1">
        <v>22</v>
      </c>
      <c r="B49" t="s">
        <v>12</v>
      </c>
      <c r="D49">
        <v>5.5989735532515539</v>
      </c>
    </row>
  </sheetData>
  <sortState xmlns:xlrd2="http://schemas.microsoft.com/office/spreadsheetml/2017/richdata2" ref="B28:D49">
    <sortCondition descending="1" ref="D28:D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7222-495A-42A5-8C26-29B739D7A8CD}">
  <dimension ref="A1:O32"/>
  <sheetViews>
    <sheetView workbookViewId="0">
      <selection activeCell="B8" sqref="B8"/>
    </sheetView>
  </sheetViews>
  <sheetFormatPr baseColWidth="10" defaultRowHeight="15" x14ac:dyDescent="0.25"/>
  <sheetData>
    <row r="1" spans="1:4" x14ac:dyDescent="0.25">
      <c r="A1" t="s">
        <v>25</v>
      </c>
      <c r="B1" t="s">
        <v>26</v>
      </c>
      <c r="C1" t="s">
        <v>27</v>
      </c>
    </row>
    <row r="2" spans="1:4" x14ac:dyDescent="0.25">
      <c r="A2" t="s">
        <v>60</v>
      </c>
      <c r="B2">
        <v>1482</v>
      </c>
      <c r="C2">
        <v>52</v>
      </c>
      <c r="D2" s="1" t="s">
        <v>68</v>
      </c>
    </row>
    <row r="3" spans="1:4" x14ac:dyDescent="0.25">
      <c r="A3" t="s">
        <v>61</v>
      </c>
      <c r="B3">
        <v>428</v>
      </c>
      <c r="C3">
        <v>19</v>
      </c>
      <c r="D3" s="1" t="s">
        <v>69</v>
      </c>
    </row>
    <row r="4" spans="1:4" x14ac:dyDescent="0.25">
      <c r="A4" t="s">
        <v>62</v>
      </c>
      <c r="B4">
        <v>430</v>
      </c>
      <c r="C4">
        <v>21</v>
      </c>
      <c r="D4" s="1" t="s">
        <v>69</v>
      </c>
    </row>
    <row r="5" spans="1:4" x14ac:dyDescent="0.25">
      <c r="A5" t="s">
        <v>63</v>
      </c>
      <c r="B5">
        <v>646</v>
      </c>
      <c r="C5">
        <v>28</v>
      </c>
      <c r="D5" s="1" t="s">
        <v>69</v>
      </c>
    </row>
    <row r="6" spans="1:4" x14ac:dyDescent="0.25">
      <c r="A6" t="s">
        <v>64</v>
      </c>
      <c r="B6">
        <v>820</v>
      </c>
      <c r="C6">
        <v>37</v>
      </c>
      <c r="D6" s="1" t="s">
        <v>68</v>
      </c>
    </row>
    <row r="7" spans="1:4" x14ac:dyDescent="0.25">
      <c r="A7" t="s">
        <v>65</v>
      </c>
      <c r="B7">
        <v>694</v>
      </c>
      <c r="C7">
        <v>31</v>
      </c>
      <c r="D7" s="1" t="s">
        <v>69</v>
      </c>
    </row>
    <row r="8" spans="1:4" x14ac:dyDescent="0.25">
      <c r="A8" t="s">
        <v>66</v>
      </c>
      <c r="B8">
        <v>708</v>
      </c>
      <c r="C8">
        <v>30</v>
      </c>
      <c r="D8" s="1" t="s">
        <v>69</v>
      </c>
    </row>
    <row r="9" spans="1:4" x14ac:dyDescent="0.25">
      <c r="A9" t="s">
        <v>67</v>
      </c>
      <c r="B9">
        <v>612</v>
      </c>
      <c r="C9">
        <v>24</v>
      </c>
      <c r="D9" s="1" t="s">
        <v>69</v>
      </c>
    </row>
    <row r="21" spans="1:15" x14ac:dyDescent="0.25">
      <c r="A21" t="s">
        <v>36</v>
      </c>
      <c r="B21">
        <v>366</v>
      </c>
      <c r="C21">
        <v>17</v>
      </c>
      <c r="D21" t="s">
        <v>37</v>
      </c>
      <c r="G21">
        <f>B21/C21</f>
        <v>21.529411764705884</v>
      </c>
      <c r="H21">
        <f>21*16</f>
        <v>336</v>
      </c>
      <c r="J21" t="s">
        <v>51</v>
      </c>
    </row>
    <row r="22" spans="1:15" x14ac:dyDescent="0.25">
      <c r="A22" t="s">
        <v>38</v>
      </c>
      <c r="B22">
        <v>446</v>
      </c>
      <c r="C22">
        <v>22</v>
      </c>
      <c r="G22">
        <f>B22/C22</f>
        <v>20.272727272727273</v>
      </c>
      <c r="J22">
        <f>350/313</f>
        <v>1.1182108626198084</v>
      </c>
    </row>
    <row r="23" spans="1:15" x14ac:dyDescent="0.25">
      <c r="A23" t="s">
        <v>42</v>
      </c>
      <c r="B23">
        <v>350</v>
      </c>
      <c r="C23">
        <v>16</v>
      </c>
      <c r="D23" t="s">
        <v>39</v>
      </c>
      <c r="G23">
        <f>B23/C23</f>
        <v>21.875</v>
      </c>
    </row>
    <row r="24" spans="1:15" x14ac:dyDescent="0.25">
      <c r="A24" t="s">
        <v>41</v>
      </c>
      <c r="B24">
        <v>414</v>
      </c>
      <c r="C24">
        <v>20</v>
      </c>
      <c r="G24">
        <f>B24/C24</f>
        <v>20.7</v>
      </c>
    </row>
    <row r="25" spans="1:15" x14ac:dyDescent="0.25">
      <c r="A25" t="s">
        <v>43</v>
      </c>
      <c r="B25">
        <v>374</v>
      </c>
      <c r="C25">
        <v>16</v>
      </c>
      <c r="D25" t="s">
        <v>44</v>
      </c>
      <c r="F25">
        <f>(B25-B23)/2</f>
        <v>12</v>
      </c>
      <c r="G25">
        <f>(B25-(F25*2))/C25</f>
        <v>21.875</v>
      </c>
      <c r="N25" t="s">
        <v>20</v>
      </c>
      <c r="O25">
        <v>398</v>
      </c>
    </row>
    <row r="26" spans="1:15" x14ac:dyDescent="0.25">
      <c r="G26">
        <f>(G21+G22+G23+G24+G25)/5</f>
        <v>21.250427807486631</v>
      </c>
      <c r="N26" t="s">
        <v>23</v>
      </c>
      <c r="O26">
        <v>410</v>
      </c>
    </row>
    <row r="27" spans="1:15" x14ac:dyDescent="0.25">
      <c r="F27" t="s">
        <v>46</v>
      </c>
      <c r="G27" t="s">
        <v>45</v>
      </c>
      <c r="N27" t="s">
        <v>21</v>
      </c>
      <c r="O27">
        <f>O26-O25</f>
        <v>12</v>
      </c>
    </row>
    <row r="29" spans="1:15" x14ac:dyDescent="0.25">
      <c r="N29">
        <v>1</v>
      </c>
      <c r="O29">
        <f>O25/19</f>
        <v>20.94736842105263</v>
      </c>
    </row>
    <row r="30" spans="1:15" x14ac:dyDescent="0.25">
      <c r="N30" t="s">
        <v>22</v>
      </c>
      <c r="O30">
        <v>422</v>
      </c>
    </row>
    <row r="31" spans="1:15" x14ac:dyDescent="0.25">
      <c r="N31" t="s">
        <v>24</v>
      </c>
      <c r="O31">
        <f>O29*16</f>
        <v>335.15789473684208</v>
      </c>
    </row>
    <row r="32" spans="1:15" x14ac:dyDescent="0.25">
      <c r="N32" t="s">
        <v>40</v>
      </c>
      <c r="O32">
        <v>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A33C-D1FD-45CC-8F0F-A3414E4139C8}">
  <dimension ref="A1:AR51"/>
  <sheetViews>
    <sheetView workbookViewId="0">
      <selection activeCell="T22" sqref="T22"/>
    </sheetView>
  </sheetViews>
  <sheetFormatPr baseColWidth="10" defaultRowHeight="15" x14ac:dyDescent="0.25"/>
  <cols>
    <col min="2" max="2" width="11.85546875" bestFit="1" customWidth="1"/>
    <col min="3" max="3" width="11.85546875" customWidth="1"/>
  </cols>
  <sheetData>
    <row r="1" spans="1:44" x14ac:dyDescent="0.25">
      <c r="A1" t="s">
        <v>25</v>
      </c>
      <c r="B1" t="s">
        <v>47</v>
      </c>
      <c r="C1" t="s">
        <v>27</v>
      </c>
      <c r="D1">
        <v>1</v>
      </c>
      <c r="E1">
        <v>2</v>
      </c>
      <c r="F1">
        <v>3</v>
      </c>
      <c r="G1">
        <v>4</v>
      </c>
      <c r="H1">
        <v>5</v>
      </c>
      <c r="I1">
        <v>5</v>
      </c>
      <c r="J1">
        <v>7</v>
      </c>
      <c r="K1">
        <v>7</v>
      </c>
      <c r="L1">
        <v>9</v>
      </c>
      <c r="M1">
        <v>9</v>
      </c>
      <c r="N1">
        <v>9</v>
      </c>
      <c r="O1">
        <v>9</v>
      </c>
      <c r="P1">
        <v>13</v>
      </c>
      <c r="Q1">
        <v>13</v>
      </c>
      <c r="R1">
        <v>13</v>
      </c>
      <c r="S1">
        <v>13</v>
      </c>
      <c r="T1">
        <v>17</v>
      </c>
      <c r="U1">
        <v>17</v>
      </c>
      <c r="V1">
        <v>17</v>
      </c>
      <c r="W1">
        <v>17</v>
      </c>
      <c r="X1">
        <v>17</v>
      </c>
      <c r="Y1">
        <v>17</v>
      </c>
      <c r="Z1">
        <v>17</v>
      </c>
      <c r="AA1">
        <v>17</v>
      </c>
      <c r="AB1">
        <v>25</v>
      </c>
      <c r="AC1">
        <v>25</v>
      </c>
      <c r="AD1">
        <v>25</v>
      </c>
      <c r="AE1">
        <v>25</v>
      </c>
      <c r="AF1">
        <v>25</v>
      </c>
      <c r="AG1">
        <v>25</v>
      </c>
      <c r="AH1">
        <v>25</v>
      </c>
      <c r="AI1">
        <v>25</v>
      </c>
      <c r="AJ1">
        <v>33</v>
      </c>
      <c r="AK1">
        <v>33</v>
      </c>
      <c r="AL1">
        <v>33</v>
      </c>
      <c r="AM1">
        <v>33</v>
      </c>
      <c r="AN1">
        <v>33</v>
      </c>
      <c r="AO1">
        <v>33</v>
      </c>
      <c r="AP1">
        <v>33</v>
      </c>
      <c r="AQ1">
        <v>33</v>
      </c>
      <c r="AR1">
        <v>49</v>
      </c>
    </row>
    <row r="2" spans="1:44" x14ac:dyDescent="0.25">
      <c r="A2" t="str">
        <f>TorneosScore!A2</f>
        <v>AoT</v>
      </c>
      <c r="B2">
        <f>TorneosScore!B2</f>
        <v>1482</v>
      </c>
      <c r="C2">
        <f>TorneosScore!C2</f>
        <v>52</v>
      </c>
      <c r="D2" s="5" t="s">
        <v>71</v>
      </c>
      <c r="E2" s="5" t="s">
        <v>72</v>
      </c>
      <c r="F2" s="6" t="s">
        <v>73</v>
      </c>
      <c r="G2" s="5" t="s">
        <v>74</v>
      </c>
      <c r="H2" s="5" t="s">
        <v>75</v>
      </c>
      <c r="I2" s="5" t="s">
        <v>76</v>
      </c>
      <c r="J2" s="5" t="s">
        <v>28</v>
      </c>
      <c r="K2" s="5" t="s">
        <v>77</v>
      </c>
      <c r="L2" s="5" t="s">
        <v>78</v>
      </c>
      <c r="M2" s="5" t="s">
        <v>79</v>
      </c>
      <c r="N2" s="5" t="s">
        <v>80</v>
      </c>
      <c r="O2" s="5" t="s">
        <v>81</v>
      </c>
      <c r="P2" s="5" t="s">
        <v>82</v>
      </c>
      <c r="Q2" s="5" t="s">
        <v>83</v>
      </c>
      <c r="R2" s="5" t="s">
        <v>84</v>
      </c>
      <c r="S2" s="5" t="s">
        <v>85</v>
      </c>
      <c r="T2" s="5" t="s">
        <v>86</v>
      </c>
      <c r="U2" s="4" t="s">
        <v>0</v>
      </c>
      <c r="V2" s="4" t="s">
        <v>3</v>
      </c>
      <c r="W2" s="5" t="s">
        <v>87</v>
      </c>
      <c r="X2" s="5" t="s">
        <v>88</v>
      </c>
      <c r="Y2" s="5" t="s">
        <v>89</v>
      </c>
      <c r="Z2" s="5" t="s">
        <v>90</v>
      </c>
      <c r="AA2" s="4" t="s">
        <v>2</v>
      </c>
      <c r="AB2" s="4" t="s">
        <v>4</v>
      </c>
      <c r="AC2" s="5" t="s">
        <v>92</v>
      </c>
      <c r="AD2" s="5" t="s">
        <v>91</v>
      </c>
      <c r="AE2" s="5" t="s">
        <v>93</v>
      </c>
      <c r="AF2" s="5" t="s">
        <v>94</v>
      </c>
      <c r="AG2" s="5" t="s">
        <v>95</v>
      </c>
      <c r="AH2" s="5" t="s">
        <v>96</v>
      </c>
      <c r="AI2" s="5" t="s">
        <v>97</v>
      </c>
      <c r="AJ2" s="4" t="s">
        <v>6</v>
      </c>
      <c r="AK2" s="4" t="s">
        <v>7</v>
      </c>
      <c r="AL2" s="4" t="s">
        <v>52</v>
      </c>
      <c r="AM2" s="4" t="s">
        <v>1</v>
      </c>
      <c r="AN2" s="4" t="s">
        <v>13</v>
      </c>
      <c r="AO2" s="4" t="s">
        <v>8</v>
      </c>
      <c r="AP2" s="4" t="s">
        <v>11</v>
      </c>
      <c r="AQ2" s="4" t="s">
        <v>12</v>
      </c>
      <c r="AR2" s="4" t="s">
        <v>55</v>
      </c>
    </row>
    <row r="3" spans="1:44" x14ac:dyDescent="0.25">
      <c r="A3" t="str">
        <f>TorneosScore!A3</f>
        <v>CoD5</v>
      </c>
      <c r="B3">
        <f>TorneosScore!B3</f>
        <v>428</v>
      </c>
      <c r="C3">
        <f>TorneosScore!C3</f>
        <v>19</v>
      </c>
      <c r="D3" s="6" t="s">
        <v>28</v>
      </c>
      <c r="E3" t="s">
        <v>1</v>
      </c>
      <c r="F3" t="s">
        <v>2</v>
      </c>
      <c r="G3" t="s">
        <v>3</v>
      </c>
      <c r="H3" t="s">
        <v>7</v>
      </c>
      <c r="I3" t="s">
        <v>9</v>
      </c>
      <c r="J3" s="6" t="s">
        <v>98</v>
      </c>
      <c r="K3" t="s">
        <v>8</v>
      </c>
      <c r="L3" t="s">
        <v>53</v>
      </c>
      <c r="M3" t="s">
        <v>52</v>
      </c>
      <c r="N3" t="s">
        <v>14</v>
      </c>
      <c r="O3" t="s">
        <v>10</v>
      </c>
      <c r="P3" t="s">
        <v>59</v>
      </c>
      <c r="Q3" t="s">
        <v>99</v>
      </c>
      <c r="R3" t="s">
        <v>55</v>
      </c>
      <c r="S3" t="s">
        <v>54</v>
      </c>
      <c r="T3" t="s">
        <v>13</v>
      </c>
      <c r="U3" t="s">
        <v>16</v>
      </c>
      <c r="V3" t="s">
        <v>100</v>
      </c>
    </row>
    <row r="4" spans="1:44" x14ac:dyDescent="0.25">
      <c r="A4" t="str">
        <f>TorneosScore!A4</f>
        <v>Plátano</v>
      </c>
      <c r="B4">
        <f>TorneosScore!B4</f>
        <v>430</v>
      </c>
      <c r="C4">
        <f>TorneosScore!C4</f>
        <v>21</v>
      </c>
      <c r="D4" t="s">
        <v>1</v>
      </c>
      <c r="E4" t="s">
        <v>4</v>
      </c>
      <c r="F4" t="s">
        <v>3</v>
      </c>
      <c r="G4" s="6" t="s">
        <v>97</v>
      </c>
      <c r="H4" s="6" t="s">
        <v>89</v>
      </c>
      <c r="I4" t="s">
        <v>8</v>
      </c>
      <c r="J4" t="s">
        <v>7</v>
      </c>
      <c r="K4" s="6" t="s">
        <v>101</v>
      </c>
      <c r="L4" s="6" t="s">
        <v>102</v>
      </c>
      <c r="M4" t="s">
        <v>57</v>
      </c>
      <c r="N4" t="s">
        <v>103</v>
      </c>
      <c r="O4" t="s">
        <v>11</v>
      </c>
      <c r="P4" s="6" t="s">
        <v>98</v>
      </c>
      <c r="Q4" t="s">
        <v>52</v>
      </c>
      <c r="R4" t="s">
        <v>56</v>
      </c>
      <c r="S4" t="s">
        <v>13</v>
      </c>
      <c r="T4" t="s">
        <v>55</v>
      </c>
      <c r="U4" t="s">
        <v>104</v>
      </c>
      <c r="V4" t="s">
        <v>105</v>
      </c>
      <c r="W4" t="s">
        <v>14</v>
      </c>
      <c r="X4" t="s">
        <v>99</v>
      </c>
    </row>
    <row r="5" spans="1:44" x14ac:dyDescent="0.25">
      <c r="A5" t="str">
        <f>TorneosScore!A5</f>
        <v>CoD6</v>
      </c>
      <c r="B5">
        <f>TorneosScore!B5</f>
        <v>646</v>
      </c>
      <c r="C5">
        <f>TorneosScore!C5</f>
        <v>28</v>
      </c>
      <c r="D5" s="6" t="s">
        <v>75</v>
      </c>
      <c r="E5" t="s">
        <v>0</v>
      </c>
      <c r="F5" s="6" t="s">
        <v>76</v>
      </c>
      <c r="G5" t="s">
        <v>1</v>
      </c>
      <c r="H5" s="6" t="s">
        <v>83</v>
      </c>
      <c r="I5" s="6" t="s">
        <v>106</v>
      </c>
      <c r="J5" t="s">
        <v>3</v>
      </c>
      <c r="K5" s="6" t="s">
        <v>107</v>
      </c>
      <c r="L5" s="6" t="s">
        <v>87</v>
      </c>
      <c r="M5" s="6" t="s">
        <v>108</v>
      </c>
      <c r="N5" s="6" t="s">
        <v>95</v>
      </c>
      <c r="O5" t="s">
        <v>2</v>
      </c>
      <c r="P5" t="s">
        <v>7</v>
      </c>
      <c r="Q5" t="s">
        <v>52</v>
      </c>
      <c r="R5" t="s">
        <v>8</v>
      </c>
      <c r="S5" t="s">
        <v>54</v>
      </c>
      <c r="T5" t="s">
        <v>53</v>
      </c>
      <c r="U5" t="s">
        <v>5</v>
      </c>
      <c r="V5" t="s">
        <v>59</v>
      </c>
      <c r="W5" t="s">
        <v>58</v>
      </c>
      <c r="X5" t="s">
        <v>9</v>
      </c>
      <c r="Y5" t="s">
        <v>10</v>
      </c>
      <c r="Z5" t="s">
        <v>11</v>
      </c>
      <c r="AA5" t="s">
        <v>12</v>
      </c>
      <c r="AB5" t="s">
        <v>109</v>
      </c>
      <c r="AC5" t="s">
        <v>13</v>
      </c>
      <c r="AD5" t="s">
        <v>110</v>
      </c>
      <c r="AE5" t="s">
        <v>100</v>
      </c>
    </row>
    <row r="6" spans="1:44" x14ac:dyDescent="0.25">
      <c r="A6" t="str">
        <f>TorneosScore!A6</f>
        <v>CoD7</v>
      </c>
      <c r="B6">
        <f>TorneosScore!B6</f>
        <v>820</v>
      </c>
      <c r="C6">
        <f>TorneosScore!C6</f>
        <v>37</v>
      </c>
      <c r="D6" s="6" t="s">
        <v>76</v>
      </c>
      <c r="E6" s="6" t="s">
        <v>75</v>
      </c>
      <c r="F6" s="6" t="s">
        <v>83</v>
      </c>
      <c r="G6" s="6" t="s">
        <v>106</v>
      </c>
      <c r="H6" s="6" t="s">
        <v>28</v>
      </c>
      <c r="I6" t="s">
        <v>0</v>
      </c>
      <c r="J6" s="6">
        <v>53845</v>
      </c>
      <c r="K6" t="s">
        <v>1</v>
      </c>
      <c r="L6" t="s">
        <v>4</v>
      </c>
      <c r="M6" s="6" t="s">
        <v>89</v>
      </c>
      <c r="N6" s="6" t="s">
        <v>111</v>
      </c>
      <c r="O6" t="s">
        <v>2</v>
      </c>
      <c r="P6" s="6" t="s">
        <v>102</v>
      </c>
      <c r="Q6" t="s">
        <v>3</v>
      </c>
      <c r="R6" s="6" t="s">
        <v>108</v>
      </c>
      <c r="S6" s="6" t="s">
        <v>112</v>
      </c>
      <c r="T6" t="s">
        <v>7</v>
      </c>
      <c r="U6" s="6" t="s">
        <v>113</v>
      </c>
      <c r="V6" t="s">
        <v>52</v>
      </c>
      <c r="W6" t="s">
        <v>56</v>
      </c>
      <c r="X6" t="s">
        <v>55</v>
      </c>
      <c r="Y6" t="s">
        <v>10</v>
      </c>
      <c r="Z6" t="s">
        <v>11</v>
      </c>
      <c r="AA6" t="s">
        <v>54</v>
      </c>
      <c r="AB6" t="s">
        <v>53</v>
      </c>
      <c r="AC6" s="6" t="s">
        <v>114</v>
      </c>
      <c r="AD6" t="s">
        <v>57</v>
      </c>
      <c r="AE6" t="s">
        <v>59</v>
      </c>
      <c r="AF6" t="s">
        <v>58</v>
      </c>
      <c r="AG6" t="s">
        <v>8</v>
      </c>
      <c r="AH6" t="s">
        <v>12</v>
      </c>
      <c r="AI6" s="6" t="s">
        <v>115</v>
      </c>
      <c r="AJ6" t="s">
        <v>13</v>
      </c>
      <c r="AK6" t="s">
        <v>15</v>
      </c>
    </row>
    <row r="7" spans="1:44" x14ac:dyDescent="0.25">
      <c r="A7" t="str">
        <f>TorneosScore!A7</f>
        <v>Caparazón</v>
      </c>
      <c r="B7">
        <f>TorneosScore!B7</f>
        <v>694</v>
      </c>
      <c r="C7">
        <f>TorneosScore!C7</f>
        <v>31</v>
      </c>
      <c r="D7" s="6" t="s">
        <v>116</v>
      </c>
      <c r="E7" t="s">
        <v>1</v>
      </c>
      <c r="F7" s="6" t="s">
        <v>76</v>
      </c>
      <c r="G7" t="s">
        <v>0</v>
      </c>
      <c r="H7" s="6" t="s">
        <v>106</v>
      </c>
      <c r="I7" t="s">
        <v>2</v>
      </c>
      <c r="J7" t="s">
        <v>3</v>
      </c>
      <c r="K7" s="6" t="s">
        <v>89</v>
      </c>
      <c r="L7" t="s">
        <v>4</v>
      </c>
      <c r="M7" t="s">
        <v>7</v>
      </c>
      <c r="N7" s="6" t="s">
        <v>108</v>
      </c>
      <c r="O7" s="6" t="s">
        <v>97</v>
      </c>
      <c r="P7" s="6" t="s">
        <v>117</v>
      </c>
      <c r="Q7" t="s">
        <v>52</v>
      </c>
      <c r="R7" t="s">
        <v>9</v>
      </c>
      <c r="S7" t="s">
        <v>8</v>
      </c>
      <c r="T7" s="6" t="s">
        <v>102</v>
      </c>
      <c r="U7" t="s">
        <v>118</v>
      </c>
      <c r="V7" t="s">
        <v>56</v>
      </c>
      <c r="W7" t="s">
        <v>14</v>
      </c>
      <c r="X7" t="s">
        <v>13</v>
      </c>
      <c r="Y7" t="s">
        <v>103</v>
      </c>
      <c r="Z7" t="s">
        <v>11</v>
      </c>
      <c r="AA7" t="s">
        <v>54</v>
      </c>
      <c r="AB7" t="s">
        <v>119</v>
      </c>
      <c r="AC7" t="s">
        <v>53</v>
      </c>
      <c r="AD7" t="s">
        <v>120</v>
      </c>
      <c r="AE7" t="s">
        <v>15</v>
      </c>
      <c r="AF7" t="s">
        <v>121</v>
      </c>
      <c r="AG7" t="s">
        <v>122</v>
      </c>
      <c r="AH7" t="s">
        <v>123</v>
      </c>
    </row>
    <row r="8" spans="1:44" x14ac:dyDescent="0.25">
      <c r="A8" t="str">
        <f>TorneosScore!A8</f>
        <v>CoD8</v>
      </c>
      <c r="B8">
        <f>TorneosScore!B8</f>
        <v>708</v>
      </c>
      <c r="C8">
        <f>TorneosScore!C8</f>
        <v>30</v>
      </c>
      <c r="D8" s="6" t="s">
        <v>75</v>
      </c>
      <c r="E8" s="6" t="s">
        <v>76</v>
      </c>
      <c r="F8" s="6" t="s">
        <v>124</v>
      </c>
      <c r="G8" t="s">
        <v>2</v>
      </c>
      <c r="H8" s="6" t="s">
        <v>28</v>
      </c>
      <c r="I8" s="6" t="s">
        <v>87</v>
      </c>
      <c r="J8" s="6" t="s">
        <v>108</v>
      </c>
      <c r="K8" s="6" t="s">
        <v>106</v>
      </c>
      <c r="L8" t="s">
        <v>3</v>
      </c>
      <c r="M8" s="6" t="s">
        <v>89</v>
      </c>
      <c r="N8" s="6" t="s">
        <v>125</v>
      </c>
      <c r="O8" s="6" t="s">
        <v>95</v>
      </c>
      <c r="P8" t="s">
        <v>52</v>
      </c>
      <c r="Q8" t="s">
        <v>5</v>
      </c>
      <c r="R8" t="s">
        <v>1</v>
      </c>
      <c r="S8" s="6" t="s">
        <v>101</v>
      </c>
      <c r="T8" t="s">
        <v>7</v>
      </c>
      <c r="U8" t="s">
        <v>121</v>
      </c>
      <c r="V8" t="s">
        <v>13</v>
      </c>
      <c r="W8" t="s">
        <v>9</v>
      </c>
      <c r="X8" t="s">
        <v>8</v>
      </c>
      <c r="Y8" t="s">
        <v>10</v>
      </c>
      <c r="Z8" t="s">
        <v>11</v>
      </c>
      <c r="AA8" t="s">
        <v>54</v>
      </c>
      <c r="AB8" t="s">
        <v>53</v>
      </c>
      <c r="AC8" s="6" t="s">
        <v>104</v>
      </c>
      <c r="AD8" t="s">
        <v>56</v>
      </c>
      <c r="AE8" t="s">
        <v>59</v>
      </c>
      <c r="AF8" t="s">
        <v>55</v>
      </c>
      <c r="AG8" t="s">
        <v>123</v>
      </c>
    </row>
    <row r="9" spans="1:44" x14ac:dyDescent="0.25">
      <c r="A9" t="str">
        <f>TorneosScore!A9</f>
        <v>CoD9</v>
      </c>
      <c r="B9">
        <f>TorneosScore!B9</f>
        <v>612</v>
      </c>
      <c r="C9">
        <f>TorneosScore!C9</f>
        <v>24</v>
      </c>
      <c r="D9" s="6" t="s">
        <v>75</v>
      </c>
      <c r="E9" t="s">
        <v>0</v>
      </c>
      <c r="F9" s="6" t="s">
        <v>28</v>
      </c>
      <c r="G9" s="6" t="s">
        <v>124</v>
      </c>
      <c r="H9" s="6" t="s">
        <v>87</v>
      </c>
      <c r="I9" t="s">
        <v>2</v>
      </c>
      <c r="J9" t="s">
        <v>3</v>
      </c>
      <c r="K9" s="6" t="s">
        <v>95</v>
      </c>
      <c r="L9" t="s">
        <v>7</v>
      </c>
      <c r="M9" t="s">
        <v>5</v>
      </c>
      <c r="N9" s="6" t="s">
        <v>108</v>
      </c>
      <c r="O9" t="s">
        <v>8</v>
      </c>
      <c r="P9" t="s">
        <v>53</v>
      </c>
      <c r="Q9" s="6" t="s">
        <v>126</v>
      </c>
      <c r="R9" t="s">
        <v>52</v>
      </c>
      <c r="S9" t="s">
        <v>9</v>
      </c>
      <c r="T9" t="s">
        <v>121</v>
      </c>
      <c r="U9" t="s">
        <v>56</v>
      </c>
      <c r="V9" t="s">
        <v>13</v>
      </c>
      <c r="W9" s="6" t="s">
        <v>127</v>
      </c>
      <c r="X9" t="s">
        <v>55</v>
      </c>
      <c r="Y9" t="s">
        <v>123</v>
      </c>
      <c r="Z9" t="s">
        <v>128</v>
      </c>
      <c r="AA9" t="s">
        <v>54</v>
      </c>
    </row>
    <row r="18" spans="1:20" x14ac:dyDescent="0.25">
      <c r="A18" t="s">
        <v>132</v>
      </c>
      <c r="F18" s="4"/>
    </row>
    <row r="19" spans="1:20" x14ac:dyDescent="0.25">
      <c r="A19">
        <f>D19+E19+F19</f>
        <v>100.00000000000001</v>
      </c>
      <c r="B19" t="s">
        <v>30</v>
      </c>
      <c r="C19">
        <f>100/3</f>
        <v>33.333333333333336</v>
      </c>
      <c r="D19">
        <f>C19*1.5</f>
        <v>50</v>
      </c>
      <c r="E19">
        <f>C19*1</f>
        <v>33.333333333333336</v>
      </c>
      <c r="F19">
        <f>C19*0.5</f>
        <v>16.666666666666668</v>
      </c>
    </row>
    <row r="20" spans="1:20" x14ac:dyDescent="0.25">
      <c r="A20">
        <f>D20+E20+F20+G20+H20+J20</f>
        <v>100</v>
      </c>
      <c r="B20" t="s">
        <v>31</v>
      </c>
      <c r="C20">
        <f>100/8</f>
        <v>12.5</v>
      </c>
      <c r="D20">
        <f>C20*2</f>
        <v>25</v>
      </c>
      <c r="E20">
        <f>C20*1.75</f>
        <v>21.875</v>
      </c>
      <c r="F20">
        <f>C20*1.5</f>
        <v>18.75</v>
      </c>
      <c r="G20">
        <f>C20*1.25</f>
        <v>15.625</v>
      </c>
      <c r="H20">
        <f>C20*1</f>
        <v>12.5</v>
      </c>
      <c r="I20">
        <f>H20</f>
        <v>12.5</v>
      </c>
      <c r="J20">
        <f>C20*0.5</f>
        <v>6.25</v>
      </c>
      <c r="K20">
        <f>J20</f>
        <v>6.25</v>
      </c>
    </row>
    <row r="21" spans="1:20" x14ac:dyDescent="0.25">
      <c r="A21">
        <f>D21+E21+F21+G21+H21+J21+L21</f>
        <v>100</v>
      </c>
      <c r="B21" t="s">
        <v>35</v>
      </c>
      <c r="C21">
        <f>100/12</f>
        <v>8.3333333333333339</v>
      </c>
      <c r="D21">
        <f>C21*3</f>
        <v>25</v>
      </c>
      <c r="E21">
        <f>C21*2.5</f>
        <v>20.833333333333336</v>
      </c>
      <c r="F21">
        <f>C21*2</f>
        <v>16.666666666666668</v>
      </c>
      <c r="G21">
        <f>C21*1.5</f>
        <v>12.5</v>
      </c>
      <c r="H21">
        <f>C21*1.25</f>
        <v>10.416666666666668</v>
      </c>
      <c r="I21">
        <f>H21</f>
        <v>10.416666666666668</v>
      </c>
      <c r="J21">
        <f>C21*1</f>
        <v>8.3333333333333339</v>
      </c>
      <c r="K21">
        <f>J21</f>
        <v>8.3333333333333339</v>
      </c>
      <c r="L21">
        <f>C21*0.75</f>
        <v>6.25</v>
      </c>
      <c r="M21">
        <f>L21</f>
        <v>6.25</v>
      </c>
      <c r="N21">
        <f>L21</f>
        <v>6.25</v>
      </c>
      <c r="O21">
        <f>L21</f>
        <v>6.25</v>
      </c>
    </row>
    <row r="22" spans="1:20" x14ac:dyDescent="0.25">
      <c r="A22">
        <v>100</v>
      </c>
      <c r="B22" t="s">
        <v>70</v>
      </c>
      <c r="C22">
        <f>100/24</f>
        <v>4.166666666666667</v>
      </c>
    </row>
    <row r="24" spans="1:20" x14ac:dyDescent="0.25">
      <c r="B24" t="s">
        <v>133</v>
      </c>
    </row>
    <row r="25" spans="1:20" x14ac:dyDescent="0.25">
      <c r="B25">
        <v>100</v>
      </c>
      <c r="C25" t="s">
        <v>30</v>
      </c>
      <c r="D25">
        <f>B25*1</f>
        <v>100</v>
      </c>
      <c r="E25">
        <f>B25*0.67</f>
        <v>67</v>
      </c>
      <c r="F25">
        <f>B25*0.33</f>
        <v>33</v>
      </c>
    </row>
    <row r="26" spans="1:20" x14ac:dyDescent="0.25">
      <c r="B26">
        <v>100</v>
      </c>
      <c r="C26" t="s">
        <v>129</v>
      </c>
      <c r="D26">
        <f>B26*1</f>
        <v>100</v>
      </c>
      <c r="E26">
        <f>B26*0.875</f>
        <v>87.5</v>
      </c>
      <c r="F26">
        <f>B26*0.75</f>
        <v>75</v>
      </c>
      <c r="G26">
        <f>B26*0.625</f>
        <v>62.5</v>
      </c>
      <c r="H26">
        <f>B26*0.5</f>
        <v>50</v>
      </c>
      <c r="I26">
        <f>H26</f>
        <v>50</v>
      </c>
      <c r="J26">
        <f>B26*0.375</f>
        <v>37.5</v>
      </c>
      <c r="K26">
        <f>J26</f>
        <v>37.5</v>
      </c>
      <c r="L26">
        <f>B26*0.25</f>
        <v>25</v>
      </c>
      <c r="M26">
        <f>L26</f>
        <v>25</v>
      </c>
      <c r="N26">
        <f>L26</f>
        <v>25</v>
      </c>
      <c r="O26">
        <f>L26</f>
        <v>25</v>
      </c>
      <c r="P26">
        <f>B26*0.125</f>
        <v>12.5</v>
      </c>
      <c r="Q26">
        <f>P26</f>
        <v>12.5</v>
      </c>
      <c r="R26">
        <f>P26</f>
        <v>12.5</v>
      </c>
      <c r="S26">
        <f>P26</f>
        <v>12.5</v>
      </c>
      <c r="T26">
        <f>B26*0.0625</f>
        <v>6.25</v>
      </c>
    </row>
    <row r="27" spans="1:20" x14ac:dyDescent="0.25">
      <c r="B27">
        <v>100</v>
      </c>
      <c r="C27" t="s">
        <v>130</v>
      </c>
      <c r="D27">
        <f t="shared" ref="D27:D28" si="0">B27*1</f>
        <v>100</v>
      </c>
      <c r="E27">
        <f t="shared" ref="E27:E28" si="1">B27*0.875</f>
        <v>87.5</v>
      </c>
      <c r="F27">
        <f t="shared" ref="F27:F28" si="2">B27*0.75</f>
        <v>75</v>
      </c>
      <c r="G27">
        <f t="shared" ref="G27:G28" si="3">B27*0.625</f>
        <v>62.5</v>
      </c>
      <c r="H27">
        <f t="shared" ref="H27:H28" si="4">B27*0.5</f>
        <v>50</v>
      </c>
      <c r="I27">
        <f t="shared" ref="I27:I28" si="5">H27</f>
        <v>50</v>
      </c>
      <c r="J27">
        <f t="shared" ref="J27:J28" si="6">B27*0.375</f>
        <v>37.5</v>
      </c>
      <c r="K27">
        <f t="shared" ref="K27:K28" si="7">J27</f>
        <v>37.5</v>
      </c>
      <c r="L27">
        <f t="shared" ref="L27:L28" si="8">B27*0.25</f>
        <v>25</v>
      </c>
      <c r="M27">
        <f t="shared" ref="M27:M28" si="9">L27</f>
        <v>25</v>
      </c>
      <c r="N27">
        <f t="shared" ref="N27:N28" si="10">L27</f>
        <v>25</v>
      </c>
      <c r="O27">
        <f t="shared" ref="O27:O28" si="11">L27</f>
        <v>25</v>
      </c>
      <c r="P27">
        <f t="shared" ref="P27:P28" si="12">B27*0.125</f>
        <v>12.5</v>
      </c>
      <c r="Q27">
        <f t="shared" ref="Q27:Q28" si="13">P27</f>
        <v>12.5</v>
      </c>
      <c r="R27">
        <f t="shared" ref="R27:R28" si="14">P27</f>
        <v>12.5</v>
      </c>
      <c r="S27">
        <f t="shared" ref="S27:S28" si="15">P27</f>
        <v>12.5</v>
      </c>
      <c r="T27">
        <f t="shared" ref="T27:T28" si="16">B27*0.0625</f>
        <v>6.25</v>
      </c>
    </row>
    <row r="28" spans="1:20" x14ac:dyDescent="0.25">
      <c r="B28">
        <v>100</v>
      </c>
      <c r="C28" t="s">
        <v>131</v>
      </c>
      <c r="D28">
        <f t="shared" si="0"/>
        <v>100</v>
      </c>
      <c r="E28">
        <f t="shared" si="1"/>
        <v>87.5</v>
      </c>
      <c r="F28">
        <f t="shared" si="2"/>
        <v>75</v>
      </c>
      <c r="G28">
        <f t="shared" si="3"/>
        <v>62.5</v>
      </c>
      <c r="H28">
        <f t="shared" si="4"/>
        <v>50</v>
      </c>
      <c r="I28">
        <f t="shared" si="5"/>
        <v>50</v>
      </c>
      <c r="J28">
        <f t="shared" si="6"/>
        <v>37.5</v>
      </c>
      <c r="K28">
        <f t="shared" si="7"/>
        <v>37.5</v>
      </c>
      <c r="L28">
        <f t="shared" si="8"/>
        <v>25</v>
      </c>
      <c r="M28">
        <f t="shared" si="9"/>
        <v>25</v>
      </c>
      <c r="N28">
        <f t="shared" si="10"/>
        <v>25</v>
      </c>
      <c r="O28">
        <f t="shared" si="11"/>
        <v>25</v>
      </c>
      <c r="P28">
        <f t="shared" si="12"/>
        <v>12.5</v>
      </c>
      <c r="Q28">
        <f t="shared" si="13"/>
        <v>12.5</v>
      </c>
      <c r="R28">
        <f t="shared" si="14"/>
        <v>12.5</v>
      </c>
      <c r="S28">
        <f t="shared" si="15"/>
        <v>12.5</v>
      </c>
      <c r="T28">
        <f t="shared" si="16"/>
        <v>6.25</v>
      </c>
    </row>
    <row r="31" spans="1:20" x14ac:dyDescent="0.25">
      <c r="A31" t="s">
        <v>132</v>
      </c>
    </row>
    <row r="32" spans="1:20" x14ac:dyDescent="0.25">
      <c r="A32" t="str">
        <f t="shared" ref="A32:A40" si="17">A1</f>
        <v>Torneo</v>
      </c>
      <c r="B32" t="str">
        <f t="shared" ref="B32:B40" si="18">C1</f>
        <v>Entrants</v>
      </c>
      <c r="C32" s="2" t="s">
        <v>32</v>
      </c>
      <c r="D32">
        <v>1</v>
      </c>
      <c r="E32">
        <v>2</v>
      </c>
      <c r="F32">
        <v>3</v>
      </c>
      <c r="G32">
        <v>4</v>
      </c>
      <c r="H32">
        <v>5</v>
      </c>
      <c r="I32">
        <v>5</v>
      </c>
      <c r="J32">
        <v>7</v>
      </c>
      <c r="K32">
        <v>7</v>
      </c>
      <c r="L32">
        <v>9</v>
      </c>
      <c r="M32">
        <v>9</v>
      </c>
      <c r="N32">
        <v>9</v>
      </c>
      <c r="O32">
        <v>9</v>
      </c>
      <c r="P32" t="s">
        <v>33</v>
      </c>
      <c r="Q32" t="s">
        <v>34</v>
      </c>
    </row>
    <row r="33" spans="1:17" x14ac:dyDescent="0.25">
      <c r="A33" t="str">
        <f t="shared" si="17"/>
        <v>AoT</v>
      </c>
      <c r="B33">
        <f t="shared" si="18"/>
        <v>52</v>
      </c>
      <c r="C33" s="2">
        <f t="shared" ref="C33:C40" si="19">B2/12</f>
        <v>123.5</v>
      </c>
      <c r="D33">
        <f>C33*3</f>
        <v>370.5</v>
      </c>
      <c r="E33">
        <f t="shared" ref="E33:E38" si="20">C33*2.5</f>
        <v>308.75</v>
      </c>
      <c r="F33">
        <f t="shared" ref="F33:F38" si="21">C33*2</f>
        <v>247</v>
      </c>
      <c r="G33">
        <f t="shared" ref="G33:G38" si="22">C33*1.5</f>
        <v>185.25</v>
      </c>
      <c r="H33">
        <f t="shared" ref="H33:H38" si="23">C33*1.25</f>
        <v>154.375</v>
      </c>
      <c r="I33">
        <f t="shared" ref="I33:I40" si="24">H33</f>
        <v>154.375</v>
      </c>
      <c r="J33">
        <f t="shared" ref="J33:J38" si="25">C33*1</f>
        <v>123.5</v>
      </c>
      <c r="K33">
        <f t="shared" ref="K33:K40" si="26">J33</f>
        <v>123.5</v>
      </c>
      <c r="L33">
        <f t="shared" ref="L33:L38" si="27">C33*0.75</f>
        <v>92.625</v>
      </c>
      <c r="M33">
        <f t="shared" ref="M33:M38" si="28">L33</f>
        <v>92.625</v>
      </c>
      <c r="N33">
        <f t="shared" ref="N33:N38" si="29">L33</f>
        <v>92.625</v>
      </c>
      <c r="O33">
        <f t="shared" ref="O33:O38" si="30">L33</f>
        <v>92.625</v>
      </c>
      <c r="P33">
        <f t="shared" ref="P33:P40" si="31">B2</f>
        <v>1482</v>
      </c>
      <c r="Q33">
        <f>D33+E33+F33+G33+H33+J33+L33</f>
        <v>1482</v>
      </c>
    </row>
    <row r="34" spans="1:17" x14ac:dyDescent="0.25">
      <c r="A34" t="str">
        <f t="shared" si="17"/>
        <v>CoD5</v>
      </c>
      <c r="B34">
        <f t="shared" si="18"/>
        <v>19</v>
      </c>
      <c r="C34" s="2">
        <f t="shared" si="19"/>
        <v>35.666666666666664</v>
      </c>
      <c r="D34">
        <f t="shared" ref="D34:D38" si="32">C34*3</f>
        <v>107</v>
      </c>
      <c r="E34">
        <f t="shared" si="20"/>
        <v>89.166666666666657</v>
      </c>
      <c r="F34">
        <f t="shared" si="21"/>
        <v>71.333333333333329</v>
      </c>
      <c r="G34">
        <f t="shared" si="22"/>
        <v>53.5</v>
      </c>
      <c r="H34">
        <f t="shared" si="23"/>
        <v>44.583333333333329</v>
      </c>
      <c r="I34">
        <f t="shared" si="24"/>
        <v>44.583333333333329</v>
      </c>
      <c r="J34">
        <f t="shared" si="25"/>
        <v>35.666666666666664</v>
      </c>
      <c r="K34">
        <f t="shared" si="26"/>
        <v>35.666666666666664</v>
      </c>
      <c r="L34">
        <f t="shared" si="27"/>
        <v>26.75</v>
      </c>
      <c r="M34">
        <f t="shared" si="28"/>
        <v>26.75</v>
      </c>
      <c r="N34">
        <f t="shared" si="29"/>
        <v>26.75</v>
      </c>
      <c r="O34">
        <f t="shared" si="30"/>
        <v>26.75</v>
      </c>
      <c r="P34">
        <f t="shared" si="31"/>
        <v>428</v>
      </c>
      <c r="Q34">
        <f t="shared" ref="Q34:Q40" si="33">D34+E34+F34+G34+H34+J34+L34</f>
        <v>428</v>
      </c>
    </row>
    <row r="35" spans="1:17" x14ac:dyDescent="0.25">
      <c r="A35" t="str">
        <f t="shared" si="17"/>
        <v>Plátano</v>
      </c>
      <c r="B35">
        <f t="shared" si="18"/>
        <v>21</v>
      </c>
      <c r="C35" s="2">
        <f t="shared" si="19"/>
        <v>35.833333333333336</v>
      </c>
      <c r="D35">
        <f t="shared" si="32"/>
        <v>107.5</v>
      </c>
      <c r="E35">
        <f t="shared" si="20"/>
        <v>89.583333333333343</v>
      </c>
      <c r="F35">
        <f t="shared" si="21"/>
        <v>71.666666666666671</v>
      </c>
      <c r="G35">
        <f t="shared" si="22"/>
        <v>53.75</v>
      </c>
      <c r="H35">
        <f t="shared" si="23"/>
        <v>44.791666666666671</v>
      </c>
      <c r="I35">
        <f t="shared" si="24"/>
        <v>44.791666666666671</v>
      </c>
      <c r="J35">
        <f t="shared" si="25"/>
        <v>35.833333333333336</v>
      </c>
      <c r="K35">
        <f t="shared" si="26"/>
        <v>35.833333333333336</v>
      </c>
      <c r="L35">
        <f t="shared" si="27"/>
        <v>26.875</v>
      </c>
      <c r="M35">
        <f t="shared" si="28"/>
        <v>26.875</v>
      </c>
      <c r="N35">
        <f t="shared" si="29"/>
        <v>26.875</v>
      </c>
      <c r="O35">
        <f t="shared" si="30"/>
        <v>26.875</v>
      </c>
      <c r="P35">
        <f t="shared" si="31"/>
        <v>430</v>
      </c>
      <c r="Q35">
        <f t="shared" si="33"/>
        <v>430</v>
      </c>
    </row>
    <row r="36" spans="1:17" x14ac:dyDescent="0.25">
      <c r="A36" t="str">
        <f t="shared" si="17"/>
        <v>CoD6</v>
      </c>
      <c r="B36">
        <f t="shared" si="18"/>
        <v>28</v>
      </c>
      <c r="C36" s="2">
        <f t="shared" si="19"/>
        <v>53.833333333333336</v>
      </c>
      <c r="D36">
        <f t="shared" si="32"/>
        <v>161.5</v>
      </c>
      <c r="E36">
        <f t="shared" si="20"/>
        <v>134.58333333333334</v>
      </c>
      <c r="F36">
        <f t="shared" si="21"/>
        <v>107.66666666666667</v>
      </c>
      <c r="G36">
        <f t="shared" si="22"/>
        <v>80.75</v>
      </c>
      <c r="H36">
        <f t="shared" si="23"/>
        <v>67.291666666666671</v>
      </c>
      <c r="I36">
        <f t="shared" si="24"/>
        <v>67.291666666666671</v>
      </c>
      <c r="J36">
        <f t="shared" si="25"/>
        <v>53.833333333333336</v>
      </c>
      <c r="K36">
        <f t="shared" si="26"/>
        <v>53.833333333333336</v>
      </c>
      <c r="L36">
        <f t="shared" si="27"/>
        <v>40.375</v>
      </c>
      <c r="M36">
        <f t="shared" si="28"/>
        <v>40.375</v>
      </c>
      <c r="N36">
        <f t="shared" si="29"/>
        <v>40.375</v>
      </c>
      <c r="O36">
        <f t="shared" si="30"/>
        <v>40.375</v>
      </c>
      <c r="P36">
        <f t="shared" si="31"/>
        <v>646</v>
      </c>
      <c r="Q36">
        <f t="shared" si="33"/>
        <v>646.00000000000011</v>
      </c>
    </row>
    <row r="37" spans="1:17" x14ac:dyDescent="0.25">
      <c r="A37" t="str">
        <f t="shared" si="17"/>
        <v>CoD7</v>
      </c>
      <c r="B37">
        <f t="shared" si="18"/>
        <v>37</v>
      </c>
      <c r="C37" s="2">
        <f t="shared" si="19"/>
        <v>68.333333333333329</v>
      </c>
      <c r="D37">
        <f t="shared" si="32"/>
        <v>205</v>
      </c>
      <c r="E37">
        <f t="shared" si="20"/>
        <v>170.83333333333331</v>
      </c>
      <c r="F37">
        <f t="shared" si="21"/>
        <v>136.66666666666666</v>
      </c>
      <c r="G37">
        <f t="shared" si="22"/>
        <v>102.5</v>
      </c>
      <c r="H37">
        <f t="shared" si="23"/>
        <v>85.416666666666657</v>
      </c>
      <c r="I37">
        <f t="shared" si="24"/>
        <v>85.416666666666657</v>
      </c>
      <c r="J37">
        <f t="shared" si="25"/>
        <v>68.333333333333329</v>
      </c>
      <c r="K37">
        <f t="shared" si="26"/>
        <v>68.333333333333329</v>
      </c>
      <c r="L37">
        <f t="shared" si="27"/>
        <v>51.25</v>
      </c>
      <c r="M37">
        <f t="shared" si="28"/>
        <v>51.25</v>
      </c>
      <c r="N37">
        <f t="shared" si="29"/>
        <v>51.25</v>
      </c>
      <c r="O37">
        <f t="shared" si="30"/>
        <v>51.25</v>
      </c>
      <c r="P37">
        <f t="shared" si="31"/>
        <v>820</v>
      </c>
      <c r="Q37">
        <f t="shared" si="33"/>
        <v>820</v>
      </c>
    </row>
    <row r="38" spans="1:17" x14ac:dyDescent="0.25">
      <c r="A38" t="str">
        <f t="shared" si="17"/>
        <v>Caparazón</v>
      </c>
      <c r="B38">
        <f t="shared" si="18"/>
        <v>31</v>
      </c>
      <c r="C38" s="2">
        <f t="shared" si="19"/>
        <v>57.833333333333336</v>
      </c>
      <c r="D38">
        <f t="shared" si="32"/>
        <v>173.5</v>
      </c>
      <c r="E38">
        <f t="shared" si="20"/>
        <v>144.58333333333334</v>
      </c>
      <c r="F38">
        <f t="shared" si="21"/>
        <v>115.66666666666667</v>
      </c>
      <c r="G38">
        <f t="shared" si="22"/>
        <v>86.75</v>
      </c>
      <c r="H38">
        <f t="shared" si="23"/>
        <v>72.291666666666671</v>
      </c>
      <c r="I38">
        <f t="shared" si="24"/>
        <v>72.291666666666671</v>
      </c>
      <c r="J38">
        <f t="shared" si="25"/>
        <v>57.833333333333336</v>
      </c>
      <c r="K38">
        <f t="shared" si="26"/>
        <v>57.833333333333336</v>
      </c>
      <c r="L38">
        <f t="shared" si="27"/>
        <v>43.375</v>
      </c>
      <c r="M38">
        <f t="shared" si="28"/>
        <v>43.375</v>
      </c>
      <c r="N38">
        <f t="shared" si="29"/>
        <v>43.375</v>
      </c>
      <c r="O38">
        <f t="shared" si="30"/>
        <v>43.375</v>
      </c>
      <c r="P38">
        <f t="shared" si="31"/>
        <v>694</v>
      </c>
      <c r="Q38">
        <f t="shared" si="33"/>
        <v>694</v>
      </c>
    </row>
    <row r="39" spans="1:17" x14ac:dyDescent="0.25">
      <c r="A39" t="str">
        <f t="shared" si="17"/>
        <v>CoD8</v>
      </c>
      <c r="B39">
        <f t="shared" si="18"/>
        <v>30</v>
      </c>
      <c r="C39" s="2">
        <f t="shared" si="19"/>
        <v>59</v>
      </c>
      <c r="D39">
        <f>C39*2</f>
        <v>118</v>
      </c>
      <c r="E39">
        <f>C39*1.75</f>
        <v>103.25</v>
      </c>
      <c r="F39">
        <f>C39*1.5</f>
        <v>88.5</v>
      </c>
      <c r="G39">
        <f>C39*1.25</f>
        <v>73.75</v>
      </c>
      <c r="H39">
        <f>C39*1</f>
        <v>59</v>
      </c>
      <c r="I39">
        <f t="shared" si="24"/>
        <v>59</v>
      </c>
      <c r="J39">
        <f>C39*0.5</f>
        <v>29.5</v>
      </c>
      <c r="K39">
        <f t="shared" si="26"/>
        <v>29.5</v>
      </c>
      <c r="P39">
        <f t="shared" si="31"/>
        <v>708</v>
      </c>
      <c r="Q39">
        <f t="shared" si="33"/>
        <v>472</v>
      </c>
    </row>
    <row r="40" spans="1:17" x14ac:dyDescent="0.25">
      <c r="A40" t="str">
        <f t="shared" si="17"/>
        <v>CoD9</v>
      </c>
      <c r="B40">
        <f t="shared" si="18"/>
        <v>24</v>
      </c>
      <c r="C40" s="2">
        <f t="shared" si="19"/>
        <v>51</v>
      </c>
      <c r="D40">
        <f>C40*3</f>
        <v>153</v>
      </c>
      <c r="E40">
        <f>C40*2.5</f>
        <v>127.5</v>
      </c>
      <c r="F40">
        <f>C40*2</f>
        <v>102</v>
      </c>
      <c r="G40">
        <f>C40*1.5</f>
        <v>76.5</v>
      </c>
      <c r="H40">
        <f>C40*1.25</f>
        <v>63.75</v>
      </c>
      <c r="I40">
        <f t="shared" si="24"/>
        <v>63.75</v>
      </c>
      <c r="J40">
        <f>C40*1</f>
        <v>51</v>
      </c>
      <c r="K40">
        <f t="shared" si="26"/>
        <v>51</v>
      </c>
      <c r="L40">
        <f>C40*0.75</f>
        <v>38.25</v>
      </c>
      <c r="M40">
        <f>L40</f>
        <v>38.25</v>
      </c>
      <c r="N40">
        <f>L40</f>
        <v>38.25</v>
      </c>
      <c r="O40">
        <f>L40</f>
        <v>38.25</v>
      </c>
      <c r="P40">
        <f t="shared" si="31"/>
        <v>612</v>
      </c>
      <c r="Q40">
        <f t="shared" si="33"/>
        <v>612</v>
      </c>
    </row>
    <row r="42" spans="1:17" x14ac:dyDescent="0.25">
      <c r="A42" t="s">
        <v>133</v>
      </c>
    </row>
    <row r="43" spans="1:17" x14ac:dyDescent="0.25">
      <c r="A43" t="str">
        <f t="shared" ref="A43:C51" si="34">A1</f>
        <v>Torneo</v>
      </c>
      <c r="B43" t="str">
        <f t="shared" si="34"/>
        <v>Scores fixed</v>
      </c>
      <c r="C43" s="2" t="str">
        <f t="shared" si="34"/>
        <v>Entrants</v>
      </c>
      <c r="D43">
        <v>1</v>
      </c>
      <c r="E43">
        <v>2</v>
      </c>
      <c r="F43">
        <v>3</v>
      </c>
      <c r="G43">
        <v>4</v>
      </c>
      <c r="H43">
        <v>5</v>
      </c>
      <c r="I43">
        <v>7</v>
      </c>
      <c r="J43">
        <v>9</v>
      </c>
      <c r="K43">
        <v>13</v>
      </c>
      <c r="L43">
        <v>17</v>
      </c>
    </row>
    <row r="44" spans="1:17" x14ac:dyDescent="0.25">
      <c r="A44" t="str">
        <f t="shared" si="34"/>
        <v>AoT</v>
      </c>
      <c r="B44">
        <f t="shared" si="34"/>
        <v>1482</v>
      </c>
      <c r="C44" s="2">
        <f t="shared" si="34"/>
        <v>52</v>
      </c>
      <c r="D44">
        <f>B44*1</f>
        <v>1482</v>
      </c>
      <c r="E44">
        <f t="shared" ref="E44" si="35">B44*0.875</f>
        <v>1296.75</v>
      </c>
      <c r="F44">
        <f t="shared" ref="F44" si="36">B44*0.75</f>
        <v>1111.5</v>
      </c>
      <c r="G44">
        <f t="shared" ref="G44" si="37">B44*0.625</f>
        <v>926.25</v>
      </c>
      <c r="H44">
        <f t="shared" ref="H44" si="38">B44*0.5</f>
        <v>741</v>
      </c>
      <c r="I44">
        <f>B44*0.375</f>
        <v>555.75</v>
      </c>
      <c r="J44">
        <f>B44*0.25</f>
        <v>370.5</v>
      </c>
      <c r="K44">
        <f>B44*0.125</f>
        <v>185.25</v>
      </c>
      <c r="L44">
        <f>B44*0.0625</f>
        <v>92.625</v>
      </c>
      <c r="M44" t="str">
        <f>A2</f>
        <v>AoT</v>
      </c>
    </row>
    <row r="45" spans="1:17" x14ac:dyDescent="0.25">
      <c r="A45" t="str">
        <f t="shared" si="34"/>
        <v>CoD5</v>
      </c>
      <c r="B45">
        <f t="shared" si="34"/>
        <v>428</v>
      </c>
      <c r="C45" s="2">
        <f t="shared" si="34"/>
        <v>19</v>
      </c>
      <c r="D45">
        <f t="shared" ref="D45:D51" si="39">B45*1</f>
        <v>428</v>
      </c>
      <c r="E45">
        <f t="shared" ref="E45:E51" si="40">B45*0.875</f>
        <v>374.5</v>
      </c>
      <c r="F45">
        <f t="shared" ref="F45:F51" si="41">B45*0.75</f>
        <v>321</v>
      </c>
      <c r="G45">
        <f t="shared" ref="G45:G51" si="42">B45*0.625</f>
        <v>267.5</v>
      </c>
      <c r="H45">
        <f t="shared" ref="H45:H51" si="43">B45*0.5</f>
        <v>214</v>
      </c>
      <c r="I45">
        <f t="shared" ref="I45:I51" si="44">B45*0.375</f>
        <v>160.5</v>
      </c>
      <c r="J45">
        <f t="shared" ref="J45:J51" si="45">B45*0.25</f>
        <v>107</v>
      </c>
      <c r="K45">
        <f t="shared" ref="K45:K51" si="46">B45*0.125</f>
        <v>53.5</v>
      </c>
      <c r="L45">
        <f t="shared" ref="L45:L51" si="47">B45*0.0625</f>
        <v>26.75</v>
      </c>
      <c r="M45" t="str">
        <f t="shared" ref="M45:M51" si="48">A3</f>
        <v>CoD5</v>
      </c>
    </row>
    <row r="46" spans="1:17" x14ac:dyDescent="0.25">
      <c r="A46" t="str">
        <f t="shared" si="34"/>
        <v>Plátano</v>
      </c>
      <c r="B46">
        <f t="shared" si="34"/>
        <v>430</v>
      </c>
      <c r="C46" s="2">
        <f t="shared" si="34"/>
        <v>21</v>
      </c>
      <c r="D46">
        <f t="shared" si="39"/>
        <v>430</v>
      </c>
      <c r="E46">
        <f t="shared" si="40"/>
        <v>376.25</v>
      </c>
      <c r="F46">
        <f t="shared" si="41"/>
        <v>322.5</v>
      </c>
      <c r="G46">
        <f t="shared" si="42"/>
        <v>268.75</v>
      </c>
      <c r="H46">
        <f t="shared" si="43"/>
        <v>215</v>
      </c>
      <c r="I46">
        <f t="shared" si="44"/>
        <v>161.25</v>
      </c>
      <c r="J46">
        <f t="shared" si="45"/>
        <v>107.5</v>
      </c>
      <c r="K46">
        <f t="shared" si="46"/>
        <v>53.75</v>
      </c>
      <c r="L46">
        <f t="shared" si="47"/>
        <v>26.875</v>
      </c>
      <c r="M46" t="str">
        <f t="shared" si="48"/>
        <v>Plátano</v>
      </c>
    </row>
    <row r="47" spans="1:17" x14ac:dyDescent="0.25">
      <c r="A47" t="str">
        <f t="shared" si="34"/>
        <v>CoD6</v>
      </c>
      <c r="B47">
        <f t="shared" si="34"/>
        <v>646</v>
      </c>
      <c r="C47" s="2">
        <f t="shared" si="34"/>
        <v>28</v>
      </c>
      <c r="D47">
        <f t="shared" si="39"/>
        <v>646</v>
      </c>
      <c r="E47">
        <f t="shared" si="40"/>
        <v>565.25</v>
      </c>
      <c r="F47">
        <f t="shared" si="41"/>
        <v>484.5</v>
      </c>
      <c r="G47">
        <f t="shared" si="42"/>
        <v>403.75</v>
      </c>
      <c r="H47">
        <f t="shared" si="43"/>
        <v>323</v>
      </c>
      <c r="I47">
        <f t="shared" si="44"/>
        <v>242.25</v>
      </c>
      <c r="J47">
        <f t="shared" si="45"/>
        <v>161.5</v>
      </c>
      <c r="K47">
        <f t="shared" si="46"/>
        <v>80.75</v>
      </c>
      <c r="L47">
        <f t="shared" si="47"/>
        <v>40.375</v>
      </c>
      <c r="M47" t="str">
        <f t="shared" si="48"/>
        <v>CoD6</v>
      </c>
    </row>
    <row r="48" spans="1:17" x14ac:dyDescent="0.25">
      <c r="A48" t="str">
        <f t="shared" si="34"/>
        <v>CoD7</v>
      </c>
      <c r="B48">
        <f t="shared" si="34"/>
        <v>820</v>
      </c>
      <c r="C48" s="2">
        <f t="shared" si="34"/>
        <v>37</v>
      </c>
      <c r="D48">
        <f t="shared" si="39"/>
        <v>820</v>
      </c>
      <c r="E48">
        <f t="shared" si="40"/>
        <v>717.5</v>
      </c>
      <c r="F48">
        <f t="shared" si="41"/>
        <v>615</v>
      </c>
      <c r="G48">
        <f t="shared" si="42"/>
        <v>512.5</v>
      </c>
      <c r="H48">
        <f t="shared" si="43"/>
        <v>410</v>
      </c>
      <c r="I48">
        <f t="shared" si="44"/>
        <v>307.5</v>
      </c>
      <c r="J48">
        <f t="shared" si="45"/>
        <v>205</v>
      </c>
      <c r="K48">
        <f t="shared" si="46"/>
        <v>102.5</v>
      </c>
      <c r="L48">
        <f t="shared" si="47"/>
        <v>51.25</v>
      </c>
      <c r="M48" t="str">
        <f t="shared" si="48"/>
        <v>CoD7</v>
      </c>
    </row>
    <row r="49" spans="1:13" x14ac:dyDescent="0.25">
      <c r="A49" t="str">
        <f t="shared" si="34"/>
        <v>Caparazón</v>
      </c>
      <c r="B49">
        <f t="shared" si="34"/>
        <v>694</v>
      </c>
      <c r="C49" s="2">
        <f t="shared" si="34"/>
        <v>31</v>
      </c>
      <c r="D49">
        <f t="shared" si="39"/>
        <v>694</v>
      </c>
      <c r="E49">
        <f t="shared" si="40"/>
        <v>607.25</v>
      </c>
      <c r="F49">
        <f t="shared" si="41"/>
        <v>520.5</v>
      </c>
      <c r="G49">
        <f t="shared" si="42"/>
        <v>433.75</v>
      </c>
      <c r="H49">
        <f t="shared" si="43"/>
        <v>347</v>
      </c>
      <c r="I49">
        <f t="shared" si="44"/>
        <v>260.25</v>
      </c>
      <c r="J49">
        <f t="shared" si="45"/>
        <v>173.5</v>
      </c>
      <c r="K49">
        <f t="shared" si="46"/>
        <v>86.75</v>
      </c>
      <c r="L49">
        <f t="shared" si="47"/>
        <v>43.375</v>
      </c>
      <c r="M49" t="str">
        <f t="shared" si="48"/>
        <v>Caparazón</v>
      </c>
    </row>
    <row r="50" spans="1:13" x14ac:dyDescent="0.25">
      <c r="A50" t="str">
        <f t="shared" si="34"/>
        <v>CoD8</v>
      </c>
      <c r="B50">
        <f t="shared" si="34"/>
        <v>708</v>
      </c>
      <c r="C50" s="2">
        <f t="shared" si="34"/>
        <v>30</v>
      </c>
      <c r="D50">
        <f t="shared" si="39"/>
        <v>708</v>
      </c>
      <c r="E50">
        <f t="shared" si="40"/>
        <v>619.5</v>
      </c>
      <c r="F50">
        <f t="shared" si="41"/>
        <v>531</v>
      </c>
      <c r="G50">
        <f t="shared" si="42"/>
        <v>442.5</v>
      </c>
      <c r="H50">
        <f t="shared" si="43"/>
        <v>354</v>
      </c>
      <c r="I50">
        <f t="shared" si="44"/>
        <v>265.5</v>
      </c>
      <c r="J50">
        <f t="shared" si="45"/>
        <v>177</v>
      </c>
      <c r="K50">
        <f t="shared" si="46"/>
        <v>88.5</v>
      </c>
      <c r="L50">
        <f t="shared" si="47"/>
        <v>44.25</v>
      </c>
      <c r="M50" t="str">
        <f t="shared" si="48"/>
        <v>CoD8</v>
      </c>
    </row>
    <row r="51" spans="1:13" x14ac:dyDescent="0.25">
      <c r="A51" t="str">
        <f t="shared" si="34"/>
        <v>CoD9</v>
      </c>
      <c r="B51">
        <f t="shared" si="34"/>
        <v>612</v>
      </c>
      <c r="C51" s="2">
        <f t="shared" si="34"/>
        <v>24</v>
      </c>
      <c r="D51">
        <f t="shared" si="39"/>
        <v>612</v>
      </c>
      <c r="E51">
        <f t="shared" si="40"/>
        <v>535.5</v>
      </c>
      <c r="F51">
        <f t="shared" si="41"/>
        <v>459</v>
      </c>
      <c r="G51">
        <f t="shared" si="42"/>
        <v>382.5</v>
      </c>
      <c r="H51">
        <f t="shared" si="43"/>
        <v>306</v>
      </c>
      <c r="I51">
        <f t="shared" si="44"/>
        <v>229.5</v>
      </c>
      <c r="J51">
        <f t="shared" si="45"/>
        <v>153</v>
      </c>
      <c r="K51">
        <f t="shared" si="46"/>
        <v>76.5</v>
      </c>
      <c r="L51">
        <f t="shared" si="47"/>
        <v>38.25</v>
      </c>
      <c r="M51" t="str">
        <f t="shared" si="48"/>
        <v>CoD9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AB2F-82CD-4DEB-AE52-ED885DE8E0EB}">
  <dimension ref="A1:AD58"/>
  <sheetViews>
    <sheetView workbookViewId="0">
      <selection activeCell="K25" sqref="K25"/>
    </sheetView>
  </sheetViews>
  <sheetFormatPr baseColWidth="10" defaultRowHeight="15" x14ac:dyDescent="0.25"/>
  <cols>
    <col min="1" max="1" width="11.85546875" bestFit="1" customWidth="1"/>
  </cols>
  <sheetData>
    <row r="1" spans="1:30" x14ac:dyDescent="0.25">
      <c r="A1" s="2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8</v>
      </c>
      <c r="I1" t="s">
        <v>52</v>
      </c>
      <c r="J1" t="s">
        <v>9</v>
      </c>
      <c r="K1" t="s">
        <v>5</v>
      </c>
      <c r="L1" t="s">
        <v>11</v>
      </c>
      <c r="M1" t="s">
        <v>10</v>
      </c>
      <c r="N1" t="s">
        <v>103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13</v>
      </c>
      <c r="V1" t="s">
        <v>12</v>
      </c>
      <c r="W1" t="s">
        <v>59</v>
      </c>
    </row>
    <row r="2" spans="1:30" x14ac:dyDescent="0.25">
      <c r="A2" s="2" t="str">
        <f>TorneosScore!A2</f>
        <v>AoT</v>
      </c>
      <c r="B2" s="1">
        <v>17</v>
      </c>
      <c r="C2" s="1">
        <v>33</v>
      </c>
      <c r="D2" s="1">
        <v>17</v>
      </c>
      <c r="E2" s="1">
        <v>17</v>
      </c>
      <c r="F2" s="1">
        <v>25</v>
      </c>
      <c r="G2" s="1">
        <v>33</v>
      </c>
      <c r="H2" s="1">
        <v>33</v>
      </c>
      <c r="I2" s="1">
        <v>33</v>
      </c>
      <c r="J2" s="1"/>
      <c r="K2" s="1"/>
      <c r="L2" s="1">
        <v>33</v>
      </c>
      <c r="M2" s="1"/>
      <c r="N2" s="1"/>
      <c r="O2" s="1"/>
      <c r="P2" s="1"/>
      <c r="Q2" s="1">
        <v>49</v>
      </c>
      <c r="R2" s="1"/>
      <c r="S2" s="1"/>
      <c r="T2" s="1"/>
      <c r="U2" s="1">
        <v>33</v>
      </c>
      <c r="V2" s="1">
        <v>33</v>
      </c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2" t="str">
        <f>TorneosScore!A3</f>
        <v>CoD5</v>
      </c>
      <c r="B3" s="1"/>
      <c r="C3" s="1">
        <v>2</v>
      </c>
      <c r="D3" s="1">
        <v>3</v>
      </c>
      <c r="E3" s="1">
        <v>4</v>
      </c>
      <c r="F3" s="1"/>
      <c r="G3" s="1">
        <v>5</v>
      </c>
      <c r="H3" s="1">
        <v>7</v>
      </c>
      <c r="I3" s="1">
        <v>9</v>
      </c>
      <c r="J3" s="1">
        <v>5</v>
      </c>
      <c r="K3" s="1"/>
      <c r="L3" s="1"/>
      <c r="M3" s="1">
        <v>9</v>
      </c>
      <c r="N3" s="1"/>
      <c r="O3" s="1">
        <v>9</v>
      </c>
      <c r="P3" s="1">
        <v>13</v>
      </c>
      <c r="Q3" s="1">
        <v>13</v>
      </c>
      <c r="R3" s="1"/>
      <c r="S3" s="1"/>
      <c r="T3" s="1"/>
      <c r="U3" s="1">
        <v>17</v>
      </c>
      <c r="V3" s="1"/>
      <c r="W3" s="1">
        <v>13</v>
      </c>
      <c r="X3" s="1"/>
      <c r="Y3" s="1"/>
      <c r="Z3" s="1"/>
      <c r="AA3" s="1"/>
      <c r="AB3" s="1"/>
      <c r="AC3" s="1"/>
      <c r="AD3" s="1"/>
    </row>
    <row r="4" spans="1:30" x14ac:dyDescent="0.25">
      <c r="A4" s="2" t="str">
        <f>TorneosScore!A4</f>
        <v>Plátano</v>
      </c>
      <c r="B4" s="1"/>
      <c r="C4" s="1">
        <v>1</v>
      </c>
      <c r="D4" s="1"/>
      <c r="E4" s="1">
        <v>3</v>
      </c>
      <c r="F4" s="1">
        <v>2</v>
      </c>
      <c r="G4" s="1">
        <v>7</v>
      </c>
      <c r="H4" s="1">
        <v>5</v>
      </c>
      <c r="I4" s="1">
        <v>13</v>
      </c>
      <c r="J4" s="1"/>
      <c r="K4" s="1"/>
      <c r="L4" s="1">
        <v>9</v>
      </c>
      <c r="M4" s="1"/>
      <c r="N4" s="1">
        <v>9</v>
      </c>
      <c r="O4" s="1"/>
      <c r="P4" s="1"/>
      <c r="Q4" s="1">
        <v>17</v>
      </c>
      <c r="R4" s="1">
        <v>13</v>
      </c>
      <c r="S4" s="1">
        <v>9</v>
      </c>
      <c r="T4" s="1"/>
      <c r="U4" s="1">
        <v>13</v>
      </c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2" t="str">
        <f>TorneosScore!A5</f>
        <v>CoD6</v>
      </c>
      <c r="B5" s="1">
        <v>2</v>
      </c>
      <c r="C5" s="1">
        <v>4</v>
      </c>
      <c r="D5" s="1">
        <v>9</v>
      </c>
      <c r="E5" s="1">
        <v>7</v>
      </c>
      <c r="F5" s="1"/>
      <c r="G5" s="1">
        <v>13</v>
      </c>
      <c r="H5" s="1">
        <v>13</v>
      </c>
      <c r="I5" s="1">
        <v>13</v>
      </c>
      <c r="J5" s="1">
        <v>17</v>
      </c>
      <c r="K5" s="1">
        <v>17</v>
      </c>
      <c r="L5" s="1">
        <v>17</v>
      </c>
      <c r="M5" s="1">
        <v>17</v>
      </c>
      <c r="N5" s="1"/>
      <c r="O5" s="1">
        <v>17</v>
      </c>
      <c r="P5" s="1">
        <v>13</v>
      </c>
      <c r="Q5" s="1"/>
      <c r="R5" s="1"/>
      <c r="S5" s="1"/>
      <c r="T5" s="1">
        <v>17</v>
      </c>
      <c r="U5" s="1">
        <v>25</v>
      </c>
      <c r="V5" s="1">
        <v>17</v>
      </c>
      <c r="W5" s="1">
        <v>17</v>
      </c>
      <c r="X5" s="1"/>
      <c r="Y5" s="1"/>
      <c r="Z5" s="1"/>
      <c r="AA5" s="1"/>
      <c r="AB5" s="1"/>
      <c r="AC5" s="1"/>
      <c r="AD5" s="1"/>
    </row>
    <row r="6" spans="1:30" x14ac:dyDescent="0.25">
      <c r="A6" s="2" t="str">
        <f>TorneosScore!A6</f>
        <v>CoD7</v>
      </c>
      <c r="B6" s="1">
        <v>5</v>
      </c>
      <c r="C6" s="1">
        <v>7</v>
      </c>
      <c r="D6" s="1">
        <v>9</v>
      </c>
      <c r="E6" s="1">
        <v>13</v>
      </c>
      <c r="F6" s="1">
        <v>9</v>
      </c>
      <c r="G6" s="1">
        <v>17</v>
      </c>
      <c r="H6" s="1">
        <v>25</v>
      </c>
      <c r="I6" s="1">
        <v>17</v>
      </c>
      <c r="J6" s="1"/>
      <c r="K6" s="1"/>
      <c r="L6" s="1">
        <v>17</v>
      </c>
      <c r="M6" s="1">
        <v>17</v>
      </c>
      <c r="N6" s="1"/>
      <c r="O6" s="1">
        <v>25</v>
      </c>
      <c r="P6" s="1">
        <v>17</v>
      </c>
      <c r="Q6" s="1">
        <v>17</v>
      </c>
      <c r="R6" s="1">
        <v>17</v>
      </c>
      <c r="S6" s="1">
        <v>25</v>
      </c>
      <c r="T6" s="1">
        <v>25</v>
      </c>
      <c r="U6" s="1">
        <v>33</v>
      </c>
      <c r="V6" s="1">
        <v>25</v>
      </c>
      <c r="W6" s="1">
        <v>25</v>
      </c>
      <c r="X6" s="1"/>
      <c r="Y6" s="1"/>
      <c r="Z6" s="1"/>
      <c r="AA6" s="1"/>
      <c r="AB6" s="1"/>
      <c r="AC6" s="1"/>
      <c r="AD6" s="1"/>
    </row>
    <row r="7" spans="1:30" x14ac:dyDescent="0.25">
      <c r="A7" s="2" t="str">
        <f>TorneosScore!A7</f>
        <v>Caparazón</v>
      </c>
      <c r="B7" s="1">
        <v>4</v>
      </c>
      <c r="C7" s="1">
        <v>2</v>
      </c>
      <c r="D7" s="1">
        <v>5</v>
      </c>
      <c r="E7" s="1">
        <v>7</v>
      </c>
      <c r="F7" s="1">
        <v>9</v>
      </c>
      <c r="G7" s="1">
        <v>9</v>
      </c>
      <c r="H7" s="1">
        <v>13</v>
      </c>
      <c r="I7" s="1">
        <v>13</v>
      </c>
      <c r="J7" s="1">
        <v>13</v>
      </c>
      <c r="K7" s="1"/>
      <c r="L7" s="1">
        <v>17</v>
      </c>
      <c r="M7" s="1"/>
      <c r="N7" s="1">
        <v>17</v>
      </c>
      <c r="O7" s="1">
        <v>25</v>
      </c>
      <c r="P7" s="1">
        <v>17</v>
      </c>
      <c r="Q7" s="1"/>
      <c r="R7" s="1">
        <v>17</v>
      </c>
      <c r="S7" s="1"/>
      <c r="T7" s="1"/>
      <c r="U7" s="1">
        <v>17</v>
      </c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2" t="str">
        <f>TorneosScore!A8</f>
        <v>CoD8</v>
      </c>
      <c r="B8" s="1"/>
      <c r="C8" s="1">
        <v>13</v>
      </c>
      <c r="D8" s="1">
        <v>4</v>
      </c>
      <c r="E8" s="1">
        <v>9</v>
      </c>
      <c r="F8" s="1"/>
      <c r="G8" s="1">
        <v>17</v>
      </c>
      <c r="H8" s="1">
        <v>17</v>
      </c>
      <c r="I8" s="1">
        <v>13</v>
      </c>
      <c r="J8" s="1">
        <v>17</v>
      </c>
      <c r="K8" s="1">
        <v>13</v>
      </c>
      <c r="L8" s="1">
        <v>17</v>
      </c>
      <c r="M8" s="1">
        <v>17</v>
      </c>
      <c r="N8" s="1"/>
      <c r="O8" s="1">
        <v>25</v>
      </c>
      <c r="P8" s="1">
        <v>17</v>
      </c>
      <c r="Q8" s="1">
        <v>25</v>
      </c>
      <c r="R8" s="1">
        <v>25</v>
      </c>
      <c r="S8" s="1"/>
      <c r="T8" s="1"/>
      <c r="U8" s="1">
        <v>17</v>
      </c>
      <c r="V8" s="1"/>
      <c r="W8" s="1">
        <v>25</v>
      </c>
      <c r="X8" s="1"/>
      <c r="Y8" s="1"/>
      <c r="Z8" s="1"/>
      <c r="AA8" s="1"/>
      <c r="AB8" s="1"/>
      <c r="AC8" s="1"/>
      <c r="AD8" s="1"/>
    </row>
    <row r="9" spans="1:30" x14ac:dyDescent="0.25">
      <c r="A9" s="2" t="str">
        <f>TorneosScore!A9</f>
        <v>CoD9</v>
      </c>
      <c r="B9" s="1">
        <v>2</v>
      </c>
      <c r="C9" s="1"/>
      <c r="D9" s="1">
        <v>5</v>
      </c>
      <c r="E9" s="1">
        <v>7</v>
      </c>
      <c r="F9" s="1"/>
      <c r="G9" s="1">
        <v>9</v>
      </c>
      <c r="H9" s="1">
        <v>9</v>
      </c>
      <c r="I9" s="1">
        <v>13</v>
      </c>
      <c r="J9" s="1">
        <v>13</v>
      </c>
      <c r="K9" s="1">
        <v>9</v>
      </c>
      <c r="L9" s="1"/>
      <c r="M9" s="1"/>
      <c r="N9" s="1"/>
      <c r="O9" s="1">
        <v>13</v>
      </c>
      <c r="P9" s="1">
        <v>17</v>
      </c>
      <c r="Q9" s="1">
        <v>17</v>
      </c>
      <c r="R9" s="1">
        <v>17</v>
      </c>
      <c r="S9" s="1"/>
      <c r="T9" s="1"/>
      <c r="U9" s="1">
        <v>17</v>
      </c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1" spans="1:30" x14ac:dyDescent="0.25">
      <c r="A21" s="2" t="s">
        <v>26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7</v>
      </c>
      <c r="H21" t="s">
        <v>8</v>
      </c>
      <c r="I21" t="s">
        <v>52</v>
      </c>
      <c r="J21" t="s">
        <v>9</v>
      </c>
      <c r="K21" t="s">
        <v>5</v>
      </c>
      <c r="L21" t="s">
        <v>11</v>
      </c>
      <c r="M21" t="s">
        <v>10</v>
      </c>
      <c r="N21" t="s">
        <v>103</v>
      </c>
      <c r="O21" t="s">
        <v>53</v>
      </c>
      <c r="P21" t="s">
        <v>54</v>
      </c>
      <c r="Q21" t="s">
        <v>55</v>
      </c>
      <c r="R21" t="s">
        <v>56</v>
      </c>
      <c r="S21" t="s">
        <v>57</v>
      </c>
      <c r="T21" t="s">
        <v>58</v>
      </c>
      <c r="U21" t="s">
        <v>13</v>
      </c>
      <c r="V21" t="s">
        <v>12</v>
      </c>
      <c r="W21" t="s">
        <v>59</v>
      </c>
    </row>
    <row r="22" spans="1:30" x14ac:dyDescent="0.25">
      <c r="A22" s="2" t="str">
        <f>TorneosScore!A2</f>
        <v>AoT</v>
      </c>
      <c r="B22" s="1">
        <f>TorneosResults!L44</f>
        <v>92.625</v>
      </c>
      <c r="C22" s="1">
        <v>0</v>
      </c>
      <c r="D22" s="1">
        <f>TorneosResults!L44</f>
        <v>92.625</v>
      </c>
      <c r="E22" s="1">
        <f>TorneosResults!L44</f>
        <v>92.625</v>
      </c>
      <c r="F22" s="1">
        <v>0</v>
      </c>
      <c r="G22" s="1">
        <v>0</v>
      </c>
      <c r="H22" s="1">
        <v>0</v>
      </c>
      <c r="I22" s="1">
        <v>0</v>
      </c>
      <c r="J22" s="1"/>
      <c r="K22" s="1"/>
      <c r="L22" s="1">
        <v>0</v>
      </c>
      <c r="M22" s="1"/>
      <c r="N22" s="1"/>
      <c r="O22" s="1"/>
      <c r="P22" s="1"/>
      <c r="Q22" s="1">
        <v>0</v>
      </c>
      <c r="R22" s="1"/>
      <c r="S22" s="1"/>
      <c r="T22" s="1"/>
      <c r="U22" s="1">
        <v>0</v>
      </c>
      <c r="V22" s="1">
        <v>0</v>
      </c>
      <c r="W22" s="1"/>
      <c r="X22" s="1"/>
    </row>
    <row r="23" spans="1:30" x14ac:dyDescent="0.25">
      <c r="A23" s="2" t="str">
        <f>TorneosScore!A3</f>
        <v>CoD5</v>
      </c>
      <c r="B23" s="1"/>
      <c r="C23" s="1">
        <f>TorneosResults!E45</f>
        <v>374.5</v>
      </c>
      <c r="D23" s="1">
        <f>TorneosResults!F45</f>
        <v>321</v>
      </c>
      <c r="E23" s="1">
        <f>TorneosResults!G45</f>
        <v>267.5</v>
      </c>
      <c r="F23" s="1"/>
      <c r="G23" s="1">
        <f>TorneosResults!H45</f>
        <v>214</v>
      </c>
      <c r="H23" s="1">
        <f>TorneosResults!I45</f>
        <v>160.5</v>
      </c>
      <c r="I23" s="1">
        <f>TorneosResults!J45</f>
        <v>107</v>
      </c>
      <c r="J23" s="1">
        <f>TorneosResults!H45</f>
        <v>214</v>
      </c>
      <c r="K23" s="1"/>
      <c r="L23" s="1"/>
      <c r="M23" s="1">
        <f>TorneosResults!J45</f>
        <v>107</v>
      </c>
      <c r="N23" s="1"/>
      <c r="O23" s="1">
        <f>TorneosResults!J45</f>
        <v>107</v>
      </c>
      <c r="P23" s="1">
        <f>TorneosResults!K45</f>
        <v>53.5</v>
      </c>
      <c r="Q23" s="1">
        <f>TorneosResults!K45</f>
        <v>53.5</v>
      </c>
      <c r="R23" s="1"/>
      <c r="S23" s="1"/>
      <c r="T23" s="1"/>
      <c r="U23" s="1">
        <f>TorneosResults!L45</f>
        <v>26.75</v>
      </c>
      <c r="V23" s="1"/>
      <c r="W23" s="1">
        <f>TorneosResults!K45</f>
        <v>53.5</v>
      </c>
      <c r="X23" s="1"/>
    </row>
    <row r="24" spans="1:30" x14ac:dyDescent="0.25">
      <c r="A24" s="2" t="str">
        <f>TorneosScore!A4</f>
        <v>Plátano</v>
      </c>
      <c r="B24" s="1"/>
      <c r="C24" s="1">
        <f>TorneosResults!D46</f>
        <v>430</v>
      </c>
      <c r="D24" s="1"/>
      <c r="E24" s="1">
        <f>TorneosResults!F46</f>
        <v>322.5</v>
      </c>
      <c r="F24" s="1">
        <f>TorneosResults!E46</f>
        <v>376.25</v>
      </c>
      <c r="G24" s="1">
        <f>TorneosResults!I46</f>
        <v>161.25</v>
      </c>
      <c r="H24" s="1">
        <f>TorneosResults!H46</f>
        <v>215</v>
      </c>
      <c r="I24" s="1">
        <f>TorneosResults!K46</f>
        <v>53.75</v>
      </c>
      <c r="J24" s="1"/>
      <c r="K24" s="1"/>
      <c r="L24" s="1">
        <f>TorneosResults!J46</f>
        <v>107.5</v>
      </c>
      <c r="M24" s="1"/>
      <c r="N24" s="1">
        <f>TorneosResults!J46</f>
        <v>107.5</v>
      </c>
      <c r="O24" s="1"/>
      <c r="P24" s="1"/>
      <c r="Q24" s="1">
        <f>TorneosResults!L46</f>
        <v>26.875</v>
      </c>
      <c r="R24" s="1">
        <f>TorneosResults!K46</f>
        <v>53.75</v>
      </c>
      <c r="S24" s="1">
        <f>TorneosResults!J46</f>
        <v>107.5</v>
      </c>
      <c r="T24" s="1"/>
      <c r="U24" s="1">
        <f>TorneosResults!K46</f>
        <v>53.75</v>
      </c>
      <c r="V24" s="1"/>
      <c r="W24" s="1"/>
      <c r="X24" s="1"/>
    </row>
    <row r="25" spans="1:30" x14ac:dyDescent="0.25">
      <c r="A25" s="2" t="str">
        <f>TorneosScore!A5</f>
        <v>CoD6</v>
      </c>
      <c r="B25" s="1">
        <f>TorneosResults!E47</f>
        <v>565.25</v>
      </c>
      <c r="C25" s="1">
        <f>TorneosResults!G47</f>
        <v>403.75</v>
      </c>
      <c r="D25" s="1">
        <f>TorneosResults!J47</f>
        <v>161.5</v>
      </c>
      <c r="E25" s="1">
        <f>TorneosResults!I47</f>
        <v>242.25</v>
      </c>
      <c r="F25" s="1"/>
      <c r="G25" s="1">
        <f>TorneosResults!K47</f>
        <v>80.75</v>
      </c>
      <c r="H25" s="1">
        <f>TorneosResults!K47</f>
        <v>80.75</v>
      </c>
      <c r="I25" s="1">
        <f>TorneosResults!K47</f>
        <v>80.75</v>
      </c>
      <c r="J25" s="1">
        <f>TorneosResults!L47</f>
        <v>40.375</v>
      </c>
      <c r="K25" s="1">
        <f>TorneosResults!L47</f>
        <v>40.375</v>
      </c>
      <c r="L25" s="1">
        <f>TorneosResults!L47</f>
        <v>40.375</v>
      </c>
      <c r="M25" s="1">
        <f>TorneosResults!L47</f>
        <v>40.375</v>
      </c>
      <c r="N25" s="1"/>
      <c r="O25" s="1">
        <f>TorneosResults!L47</f>
        <v>40.375</v>
      </c>
      <c r="P25" s="1">
        <f>TorneosResults!K47</f>
        <v>80.75</v>
      </c>
      <c r="Q25" s="1"/>
      <c r="R25" s="1"/>
      <c r="S25" s="1"/>
      <c r="T25" s="1">
        <f>TorneosResults!L47</f>
        <v>40.375</v>
      </c>
      <c r="U25" s="1">
        <v>0</v>
      </c>
      <c r="V25" s="1">
        <f>TorneosResults!L47</f>
        <v>40.375</v>
      </c>
      <c r="W25" s="1">
        <f>TorneosResults!L47</f>
        <v>40.375</v>
      </c>
      <c r="X25" s="1"/>
    </row>
    <row r="26" spans="1:30" x14ac:dyDescent="0.25">
      <c r="A26" s="2" t="str">
        <f>TorneosScore!A6</f>
        <v>CoD7</v>
      </c>
      <c r="B26" s="1">
        <f>TorneosResults!H48</f>
        <v>410</v>
      </c>
      <c r="C26" s="1">
        <f>TorneosResults!I48</f>
        <v>307.5</v>
      </c>
      <c r="D26" s="1">
        <f>TorneosResults!J48</f>
        <v>205</v>
      </c>
      <c r="E26" s="1">
        <f>TorneosResults!K48</f>
        <v>102.5</v>
      </c>
      <c r="F26" s="1">
        <f>TorneosResults!J48</f>
        <v>205</v>
      </c>
      <c r="G26" s="1">
        <f>TorneosResults!L48</f>
        <v>51.25</v>
      </c>
      <c r="H26" s="1">
        <v>0</v>
      </c>
      <c r="I26" s="1">
        <f>TorneosResults!L48</f>
        <v>51.25</v>
      </c>
      <c r="J26" s="1"/>
      <c r="K26" s="1"/>
      <c r="L26" s="1">
        <f>TorneosResults!L48</f>
        <v>51.25</v>
      </c>
      <c r="M26" s="1">
        <f>TorneosResults!L48</f>
        <v>51.25</v>
      </c>
      <c r="N26" s="1"/>
      <c r="O26" s="1">
        <v>0</v>
      </c>
      <c r="P26" s="1">
        <f>TorneosResults!L48</f>
        <v>51.25</v>
      </c>
      <c r="Q26" s="1">
        <f>TorneosResults!L48</f>
        <v>51.25</v>
      </c>
      <c r="R26" s="1">
        <f>TorneosResults!L48</f>
        <v>51.25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/>
    </row>
    <row r="27" spans="1:30" x14ac:dyDescent="0.25">
      <c r="A27" s="2" t="str">
        <f>TorneosScore!A7</f>
        <v>Caparazón</v>
      </c>
      <c r="B27" s="1">
        <f>TorneosResults!G49</f>
        <v>433.75</v>
      </c>
      <c r="C27" s="1">
        <f>TorneosResults!E49</f>
        <v>607.25</v>
      </c>
      <c r="D27" s="1">
        <f>TorneosResults!H49</f>
        <v>347</v>
      </c>
      <c r="E27" s="1">
        <f>TorneosResults!I49</f>
        <v>260.25</v>
      </c>
      <c r="F27" s="1">
        <f>TorneosResults!J49</f>
        <v>173.5</v>
      </c>
      <c r="G27" s="1">
        <f>TorneosResults!J49</f>
        <v>173.5</v>
      </c>
      <c r="H27" s="1">
        <f>TorneosResults!K49</f>
        <v>86.75</v>
      </c>
      <c r="I27" s="1">
        <f>TorneosResults!K49</f>
        <v>86.75</v>
      </c>
      <c r="J27" s="1">
        <f>TorneosResults!K49</f>
        <v>86.75</v>
      </c>
      <c r="K27" s="1"/>
      <c r="L27" s="1">
        <f>TorneosResults!L49</f>
        <v>43.375</v>
      </c>
      <c r="M27" s="1"/>
      <c r="N27" s="1">
        <f>TorneosResults!L49</f>
        <v>43.375</v>
      </c>
      <c r="O27" s="1">
        <v>0</v>
      </c>
      <c r="P27" s="1">
        <f>TorneosResults!L49</f>
        <v>43.375</v>
      </c>
      <c r="Q27" s="1"/>
      <c r="R27" s="1">
        <f>TorneosResults!L49</f>
        <v>43.375</v>
      </c>
      <c r="S27" s="1"/>
      <c r="T27" s="1"/>
      <c r="U27" s="1">
        <f>TorneosResults!L49</f>
        <v>43.375</v>
      </c>
      <c r="V27" s="1"/>
      <c r="W27" s="1"/>
      <c r="X27" s="1"/>
    </row>
    <row r="28" spans="1:30" x14ac:dyDescent="0.25">
      <c r="A28" s="2" t="str">
        <f>TorneosScore!A8</f>
        <v>CoD8</v>
      </c>
      <c r="B28" s="1"/>
      <c r="C28" s="1">
        <f>TorneosResults!K50</f>
        <v>88.5</v>
      </c>
      <c r="D28" s="1">
        <f>TorneosResults!G50</f>
        <v>442.5</v>
      </c>
      <c r="E28" s="1">
        <f>TorneosResults!J50</f>
        <v>177</v>
      </c>
      <c r="F28" s="1"/>
      <c r="G28" s="1">
        <f>TorneosResults!L50</f>
        <v>44.25</v>
      </c>
      <c r="H28" s="1">
        <f>TorneosResults!L50</f>
        <v>44.25</v>
      </c>
      <c r="I28" s="1">
        <f>TorneosResults!K50</f>
        <v>88.5</v>
      </c>
      <c r="J28" s="1">
        <f>TorneosResults!L50</f>
        <v>44.25</v>
      </c>
      <c r="K28" s="1">
        <f>TorneosResults!K50</f>
        <v>88.5</v>
      </c>
      <c r="L28" s="1">
        <f>TorneosResults!L50</f>
        <v>44.25</v>
      </c>
      <c r="M28" s="1">
        <f>TorneosResults!L50</f>
        <v>44.25</v>
      </c>
      <c r="N28" s="1"/>
      <c r="O28" s="1">
        <v>0</v>
      </c>
      <c r="P28" s="1">
        <f>TorneosResults!L50</f>
        <v>44.25</v>
      </c>
      <c r="Q28" s="1">
        <v>0</v>
      </c>
      <c r="R28" s="1">
        <v>0</v>
      </c>
      <c r="S28" s="1"/>
      <c r="T28" s="1"/>
      <c r="U28" s="1">
        <f>TorneosResults!L50</f>
        <v>44.25</v>
      </c>
      <c r="V28" s="1"/>
      <c r="W28" s="1">
        <v>0</v>
      </c>
      <c r="X28" s="1"/>
    </row>
    <row r="29" spans="1:30" x14ac:dyDescent="0.25">
      <c r="A29" s="2" t="str">
        <f>TorneosScore!A9</f>
        <v>CoD9</v>
      </c>
      <c r="B29" s="1">
        <f>TorneosResults!E51</f>
        <v>535.5</v>
      </c>
      <c r="C29" s="1"/>
      <c r="D29" s="1">
        <f>TorneosResults!H51</f>
        <v>306</v>
      </c>
      <c r="E29" s="1">
        <f>TorneosResults!I51</f>
        <v>229.5</v>
      </c>
      <c r="F29" s="1"/>
      <c r="G29" s="1">
        <f>TorneosResults!J51</f>
        <v>153</v>
      </c>
      <c r="H29" s="1">
        <f>TorneosResults!J51</f>
        <v>153</v>
      </c>
      <c r="I29" s="1">
        <f>TorneosResults!K51</f>
        <v>76.5</v>
      </c>
      <c r="J29" s="1">
        <f>TorneosResults!K51</f>
        <v>76.5</v>
      </c>
      <c r="K29" s="1">
        <f>TorneosResults!J51</f>
        <v>153</v>
      </c>
      <c r="L29" s="1"/>
      <c r="M29" s="1"/>
      <c r="N29" s="1"/>
      <c r="O29" s="1">
        <f>TorneosResults!K51</f>
        <v>76.5</v>
      </c>
      <c r="P29" s="1">
        <f>TorneosResults!L51</f>
        <v>38.25</v>
      </c>
      <c r="Q29" s="1">
        <f>TorneosResults!L51</f>
        <v>38.25</v>
      </c>
      <c r="R29" s="1">
        <f>TorneosResults!L51</f>
        <v>38.25</v>
      </c>
      <c r="S29" s="1"/>
      <c r="T29" s="1"/>
      <c r="U29" s="1">
        <f>TorneosResults!L51</f>
        <v>38.25</v>
      </c>
      <c r="V29" s="1"/>
      <c r="W29" s="1"/>
      <c r="X29" s="1"/>
    </row>
    <row r="30" spans="1:30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1"/>
    </row>
    <row r="31" spans="1:30" x14ac:dyDescent="0.25">
      <c r="B31" s="1">
        <v>565.25</v>
      </c>
      <c r="C31" s="1">
        <v>607.25</v>
      </c>
      <c r="D31" s="1">
        <v>442.5</v>
      </c>
      <c r="E31" s="1">
        <v>322.5</v>
      </c>
      <c r="F31" s="1">
        <v>376.25</v>
      </c>
      <c r="G31" s="1">
        <v>214</v>
      </c>
      <c r="H31" s="1">
        <v>215</v>
      </c>
      <c r="I31" s="1">
        <v>107</v>
      </c>
      <c r="J31" s="1">
        <v>214</v>
      </c>
      <c r="K31" s="1">
        <v>153</v>
      </c>
      <c r="L31" s="1">
        <v>107.5</v>
      </c>
      <c r="M31" s="1">
        <v>107</v>
      </c>
      <c r="N31" s="1">
        <v>107.5</v>
      </c>
      <c r="O31" s="1">
        <v>107</v>
      </c>
      <c r="P31" s="1">
        <v>80.75</v>
      </c>
      <c r="Q31" s="1">
        <v>53.5</v>
      </c>
      <c r="R31" s="1">
        <v>53.75</v>
      </c>
      <c r="S31" s="1">
        <v>107.5</v>
      </c>
      <c r="T31" s="1">
        <v>40.375</v>
      </c>
      <c r="U31" s="1">
        <v>53.75</v>
      </c>
      <c r="V31" s="1">
        <v>40.375</v>
      </c>
      <c r="W31" s="1">
        <v>53.5</v>
      </c>
      <c r="X31" s="1"/>
    </row>
    <row r="32" spans="1:30" x14ac:dyDescent="0.25">
      <c r="B32" s="1">
        <v>535.5</v>
      </c>
      <c r="C32" s="1">
        <v>430</v>
      </c>
      <c r="D32" s="1">
        <v>347</v>
      </c>
      <c r="E32" s="1">
        <v>267.5</v>
      </c>
      <c r="F32" s="1">
        <v>205</v>
      </c>
      <c r="G32" s="1">
        <v>173.5</v>
      </c>
      <c r="H32" s="1">
        <v>160.5</v>
      </c>
      <c r="I32" s="1">
        <v>88.5</v>
      </c>
      <c r="J32" s="1">
        <v>86.75</v>
      </c>
      <c r="K32" s="1">
        <v>88.5</v>
      </c>
      <c r="L32" s="1">
        <v>51.25</v>
      </c>
      <c r="M32" s="1">
        <v>51.25</v>
      </c>
      <c r="N32" s="1">
        <v>43.375</v>
      </c>
      <c r="O32" s="1">
        <v>76.5</v>
      </c>
      <c r="P32" s="1">
        <v>53.5</v>
      </c>
      <c r="Q32" s="1">
        <v>51.25</v>
      </c>
      <c r="R32" s="1">
        <v>51.25</v>
      </c>
      <c r="S32" s="1">
        <v>0</v>
      </c>
      <c r="T32" s="1">
        <v>0</v>
      </c>
      <c r="U32" s="1">
        <v>44.25</v>
      </c>
      <c r="V32" s="1">
        <v>0</v>
      </c>
      <c r="W32" s="1">
        <v>40.375</v>
      </c>
      <c r="X32" s="1"/>
    </row>
    <row r="33" spans="1:24" x14ac:dyDescent="0.25">
      <c r="B33" s="1">
        <v>433.75</v>
      </c>
      <c r="C33" s="1">
        <v>403.75</v>
      </c>
      <c r="D33" s="1">
        <v>321</v>
      </c>
      <c r="E33" s="1">
        <v>260.25</v>
      </c>
      <c r="F33" s="1">
        <v>173.5</v>
      </c>
      <c r="G33" s="1">
        <v>161.25</v>
      </c>
      <c r="H33" s="1">
        <v>153</v>
      </c>
      <c r="I33" s="1">
        <v>86.75</v>
      </c>
      <c r="J33" s="1">
        <v>76.5</v>
      </c>
      <c r="K33" s="1">
        <v>40.375</v>
      </c>
      <c r="L33" s="1">
        <v>44.25</v>
      </c>
      <c r="M33" s="1">
        <v>44.25</v>
      </c>
      <c r="N33" s="1"/>
      <c r="O33" s="1">
        <v>40.375</v>
      </c>
      <c r="P33" s="1">
        <v>51.25</v>
      </c>
      <c r="Q33" s="1">
        <v>38.25</v>
      </c>
      <c r="R33" s="1">
        <v>43.375</v>
      </c>
      <c r="S33" s="1"/>
      <c r="T33" s="1"/>
      <c r="U33" s="1">
        <v>43.375</v>
      </c>
      <c r="V33" s="1">
        <v>0</v>
      </c>
      <c r="W33" s="1">
        <v>0</v>
      </c>
      <c r="X33" s="1"/>
    </row>
    <row r="34" spans="1:24" x14ac:dyDescent="0.25">
      <c r="B34" s="1">
        <v>410</v>
      </c>
      <c r="C34" s="1">
        <v>374.5</v>
      </c>
      <c r="D34" s="1">
        <v>306</v>
      </c>
      <c r="E34" s="1">
        <v>242.25</v>
      </c>
      <c r="F34" s="1">
        <v>0</v>
      </c>
      <c r="G34" s="1">
        <v>153</v>
      </c>
      <c r="H34" s="1">
        <v>86.75</v>
      </c>
      <c r="I34" s="1">
        <v>80.75</v>
      </c>
      <c r="J34" s="1">
        <v>44.25</v>
      </c>
      <c r="K34" s="1"/>
      <c r="L34" s="1">
        <v>43.375</v>
      </c>
      <c r="M34" s="1">
        <v>40.375</v>
      </c>
      <c r="N34" s="1"/>
      <c r="O34" s="1">
        <v>0</v>
      </c>
      <c r="P34" s="1">
        <v>44.25</v>
      </c>
      <c r="Q34" s="1">
        <v>26.875</v>
      </c>
      <c r="R34" s="1">
        <v>38.25</v>
      </c>
      <c r="S34" s="1"/>
      <c r="T34" s="1"/>
      <c r="U34" s="1">
        <v>38.25</v>
      </c>
      <c r="V34" s="1"/>
      <c r="W34" s="1">
        <v>0</v>
      </c>
      <c r="X34" s="1"/>
    </row>
    <row r="35" spans="1:24" x14ac:dyDescent="0.25">
      <c r="B35" s="1">
        <v>92.625</v>
      </c>
      <c r="C35" s="1">
        <v>307.5</v>
      </c>
      <c r="D35" s="1">
        <v>205</v>
      </c>
      <c r="E35" s="1">
        <v>229.5</v>
      </c>
      <c r="F35" s="1"/>
      <c r="G35" s="1">
        <v>80.75</v>
      </c>
      <c r="H35" s="1">
        <v>80.75</v>
      </c>
      <c r="I35" s="1">
        <v>76.5</v>
      </c>
      <c r="J35" s="1">
        <v>40.375</v>
      </c>
      <c r="K35" s="1"/>
      <c r="L35" s="1">
        <v>40.375</v>
      </c>
      <c r="M35" s="1"/>
      <c r="N35" s="1"/>
      <c r="O35" s="1">
        <v>0</v>
      </c>
      <c r="P35" s="1">
        <v>43.375</v>
      </c>
      <c r="Q35" s="1">
        <v>0</v>
      </c>
      <c r="R35" s="1">
        <v>0</v>
      </c>
      <c r="S35" s="1"/>
      <c r="T35" s="1"/>
      <c r="U35" s="1">
        <v>26.75</v>
      </c>
      <c r="V35" s="1"/>
      <c r="W35" s="1"/>
      <c r="X35" s="1"/>
    </row>
    <row r="36" spans="1:24" x14ac:dyDescent="0.25">
      <c r="B36" s="1"/>
      <c r="C36" s="1">
        <v>88.5</v>
      </c>
      <c r="D36" s="1">
        <v>161.5</v>
      </c>
      <c r="E36" s="1">
        <v>177</v>
      </c>
      <c r="F36" s="1"/>
      <c r="G36" s="1">
        <v>51.25</v>
      </c>
      <c r="H36" s="1">
        <v>44.25</v>
      </c>
      <c r="I36" s="1">
        <v>53.75</v>
      </c>
      <c r="J36" s="1"/>
      <c r="K36" s="1"/>
      <c r="L36" s="1">
        <v>0</v>
      </c>
      <c r="M36" s="1"/>
      <c r="N36" s="1"/>
      <c r="O36" s="1">
        <v>0</v>
      </c>
      <c r="P36" s="1">
        <v>38.25</v>
      </c>
      <c r="Q36" s="1">
        <v>0</v>
      </c>
      <c r="R36" s="1"/>
      <c r="S36" s="1"/>
      <c r="T36" s="1"/>
      <c r="U36" s="1">
        <v>0</v>
      </c>
      <c r="V36" s="1"/>
      <c r="W36" s="1"/>
      <c r="X36" s="1"/>
    </row>
    <row r="37" spans="1:24" x14ac:dyDescent="0.25">
      <c r="B37" s="1"/>
      <c r="C37" s="1">
        <v>0</v>
      </c>
      <c r="D37" s="1">
        <v>92.625</v>
      </c>
      <c r="E37" s="1">
        <v>102.5</v>
      </c>
      <c r="F37" s="1"/>
      <c r="G37" s="1">
        <v>44.25</v>
      </c>
      <c r="H37" s="1">
        <v>0</v>
      </c>
      <c r="I37" s="1">
        <v>51.25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0</v>
      </c>
      <c r="V37" s="1"/>
      <c r="W37" s="1"/>
      <c r="X37" s="1"/>
    </row>
    <row r="38" spans="1:24" x14ac:dyDescent="0.25">
      <c r="B38" s="1"/>
      <c r="C38" s="1"/>
      <c r="D38" s="1"/>
      <c r="E38" s="1">
        <v>92.625</v>
      </c>
      <c r="F38" s="1"/>
      <c r="G38" s="1">
        <v>0</v>
      </c>
      <c r="H38" s="1">
        <v>0</v>
      </c>
      <c r="I38" s="1"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v>0</v>
      </c>
      <c r="V38" s="1"/>
      <c r="W38" s="1"/>
      <c r="X38" s="1"/>
    </row>
    <row r="39" spans="1:24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5">
      <c r="A40" t="s">
        <v>134</v>
      </c>
      <c r="B40">
        <f>B31+B32+B33</f>
        <v>1534.5</v>
      </c>
      <c r="C40">
        <f>C31+C32+C33</f>
        <v>1441</v>
      </c>
      <c r="D40">
        <f t="shared" ref="D40:W40" si="0">D31+D32+D33</f>
        <v>1110.5</v>
      </c>
      <c r="E40">
        <f t="shared" si="0"/>
        <v>850.25</v>
      </c>
      <c r="F40">
        <f t="shared" si="0"/>
        <v>754.75</v>
      </c>
      <c r="G40">
        <f t="shared" si="0"/>
        <v>548.75</v>
      </c>
      <c r="H40">
        <f t="shared" si="0"/>
        <v>528.5</v>
      </c>
      <c r="I40">
        <f t="shared" si="0"/>
        <v>282.25</v>
      </c>
      <c r="J40">
        <f t="shared" si="0"/>
        <v>377.25</v>
      </c>
      <c r="K40">
        <f t="shared" si="0"/>
        <v>281.875</v>
      </c>
      <c r="L40">
        <f t="shared" si="0"/>
        <v>203</v>
      </c>
      <c r="M40">
        <f t="shared" si="0"/>
        <v>202.5</v>
      </c>
      <c r="N40">
        <f t="shared" si="0"/>
        <v>150.875</v>
      </c>
      <c r="O40">
        <f t="shared" si="0"/>
        <v>223.875</v>
      </c>
      <c r="P40">
        <f t="shared" si="0"/>
        <v>185.5</v>
      </c>
      <c r="Q40">
        <f t="shared" si="0"/>
        <v>143</v>
      </c>
      <c r="R40">
        <f t="shared" si="0"/>
        <v>148.375</v>
      </c>
      <c r="S40">
        <f t="shared" si="0"/>
        <v>107.5</v>
      </c>
      <c r="T40">
        <f t="shared" si="0"/>
        <v>40.375</v>
      </c>
      <c r="U40">
        <f t="shared" si="0"/>
        <v>141.375</v>
      </c>
      <c r="V40">
        <f t="shared" si="0"/>
        <v>40.375</v>
      </c>
      <c r="W40">
        <f t="shared" si="0"/>
        <v>93.875</v>
      </c>
    </row>
    <row r="41" spans="1:24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5"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2:24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1" spans="2:24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2:24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2:24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2:24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2:24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2:24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2:24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2:24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</sheetData>
  <sortState xmlns:xlrd2="http://schemas.microsoft.com/office/spreadsheetml/2017/richdata2" ref="P31:P38">
    <sortCondition descending="1" ref="P31:P3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A6B2-E9AD-4DE1-A3FC-FF4AFB7E8B7A}">
  <dimension ref="A1:B22"/>
  <sheetViews>
    <sheetView workbookViewId="0">
      <selection activeCell="B22" sqref="B22"/>
    </sheetView>
  </sheetViews>
  <sheetFormatPr baseColWidth="10" defaultRowHeight="15" x14ac:dyDescent="0.25"/>
  <sheetData>
    <row r="1" spans="1:2" x14ac:dyDescent="0.25">
      <c r="A1" t="s">
        <v>0</v>
      </c>
      <c r="B1">
        <v>6058</v>
      </c>
    </row>
    <row r="2" spans="1:2" x14ac:dyDescent="0.25">
      <c r="A2" t="s">
        <v>1</v>
      </c>
      <c r="B2">
        <v>5671</v>
      </c>
    </row>
    <row r="3" spans="1:2" x14ac:dyDescent="0.25">
      <c r="A3" t="s">
        <v>2</v>
      </c>
      <c r="B3">
        <v>5223</v>
      </c>
    </row>
    <row r="4" spans="1:2" x14ac:dyDescent="0.25">
      <c r="A4" t="s">
        <v>3</v>
      </c>
      <c r="B4">
        <v>4888</v>
      </c>
    </row>
    <row r="5" spans="1:2" x14ac:dyDescent="0.25">
      <c r="A5" t="s">
        <v>4</v>
      </c>
      <c r="B5">
        <v>4663</v>
      </c>
    </row>
    <row r="6" spans="1:2" x14ac:dyDescent="0.25">
      <c r="A6" t="s">
        <v>7</v>
      </c>
      <c r="B6">
        <v>3826</v>
      </c>
    </row>
    <row r="7" spans="1:2" x14ac:dyDescent="0.25">
      <c r="A7" t="s">
        <v>8</v>
      </c>
      <c r="B7">
        <v>3607</v>
      </c>
    </row>
    <row r="8" spans="1:2" x14ac:dyDescent="0.25">
      <c r="A8" t="s">
        <v>52</v>
      </c>
      <c r="B8">
        <v>3372</v>
      </c>
    </row>
    <row r="9" spans="1:2" x14ac:dyDescent="0.25">
      <c r="A9" t="s">
        <v>9</v>
      </c>
      <c r="B9">
        <v>3324</v>
      </c>
    </row>
    <row r="10" spans="1:2" x14ac:dyDescent="0.25">
      <c r="A10" t="s">
        <v>5</v>
      </c>
      <c r="B10">
        <v>2900</v>
      </c>
    </row>
    <row r="11" spans="1:2" x14ac:dyDescent="0.25">
      <c r="A11" t="s">
        <v>11</v>
      </c>
      <c r="B11">
        <v>2607</v>
      </c>
    </row>
    <row r="12" spans="1:2" x14ac:dyDescent="0.25">
      <c r="A12" t="s">
        <v>10</v>
      </c>
      <c r="B12">
        <v>2334</v>
      </c>
    </row>
    <row r="13" spans="1:2" x14ac:dyDescent="0.25">
      <c r="A13" t="s">
        <v>103</v>
      </c>
      <c r="B13">
        <v>2154</v>
      </c>
    </row>
    <row r="14" spans="1:2" x14ac:dyDescent="0.25">
      <c r="A14" t="s">
        <v>53</v>
      </c>
      <c r="B14">
        <v>2154</v>
      </c>
    </row>
    <row r="15" spans="1:2" x14ac:dyDescent="0.25">
      <c r="A15" t="s">
        <v>54</v>
      </c>
      <c r="B15">
        <v>2122</v>
      </c>
    </row>
    <row r="16" spans="1:2" x14ac:dyDescent="0.25">
      <c r="A16" t="s">
        <v>55</v>
      </c>
      <c r="B16">
        <v>2091</v>
      </c>
    </row>
    <row r="17" spans="1:2" x14ac:dyDescent="0.25">
      <c r="A17" t="s">
        <v>56</v>
      </c>
      <c r="B17">
        <v>2024</v>
      </c>
    </row>
    <row r="18" spans="1:2" x14ac:dyDescent="0.25">
      <c r="A18" t="s">
        <v>57</v>
      </c>
      <c r="B18">
        <v>1868</v>
      </c>
    </row>
    <row r="19" spans="1:2" x14ac:dyDescent="0.25">
      <c r="A19" t="s">
        <v>58</v>
      </c>
      <c r="B19">
        <v>1520</v>
      </c>
    </row>
    <row r="20" spans="1:2" x14ac:dyDescent="0.25">
      <c r="A20" t="s">
        <v>13</v>
      </c>
      <c r="B20">
        <v>1363</v>
      </c>
    </row>
    <row r="21" spans="1:2" x14ac:dyDescent="0.25">
      <c r="A21" t="s">
        <v>12</v>
      </c>
      <c r="B21">
        <v>1358</v>
      </c>
    </row>
    <row r="22" spans="1:2" x14ac:dyDescent="0.25">
      <c r="A22" t="s">
        <v>59</v>
      </c>
      <c r="B22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Ranking</vt:lpstr>
      <vt:lpstr>TorneosScore</vt:lpstr>
      <vt:lpstr>TorneosResults</vt:lpstr>
      <vt:lpstr>PlayerResults</vt:lpstr>
      <vt:lpstr>PuntosBraacket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Centeno González</dc:creator>
  <cp:lastModifiedBy>Vicente Centeno González</cp:lastModifiedBy>
  <dcterms:created xsi:type="dcterms:W3CDTF">2023-12-24T18:31:58Z</dcterms:created>
  <dcterms:modified xsi:type="dcterms:W3CDTF">2024-08-25T03:11:19Z</dcterms:modified>
</cp:coreProperties>
</file>