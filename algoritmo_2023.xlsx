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sas del SSD\formateo enero 2022\Otras cosas rip\geek week 2022 smash\ranking 2023\"/>
    </mc:Choice>
  </mc:AlternateContent>
  <xr:revisionPtr revIDLastSave="0" documentId="13_ncr:1_{0325FF31-A6CA-4686-BB0C-A75ECD09335A}" xr6:coauthVersionLast="47" xr6:coauthVersionMax="47" xr10:uidLastSave="{00000000-0000-0000-0000-000000000000}"/>
  <bookViews>
    <workbookView xWindow="28680" yWindow="-120" windowWidth="29040" windowHeight="15840" activeTab="2" xr2:uid="{DFE517F7-BC30-4844-93BE-AFEF59C30F4B}"/>
  </bookViews>
  <sheets>
    <sheet name="Ranking" sheetId="1" r:id="rId1"/>
    <sheet name="TorneosScore" sheetId="3" r:id="rId2"/>
    <sheet name="TorneosResults" sheetId="4" r:id="rId3"/>
    <sheet name="PlayerResults" sheetId="5" r:id="rId4"/>
    <sheet name="PuntosBraacke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5" l="1"/>
  <c r="G45" i="5"/>
  <c r="G49" i="5" s="1"/>
  <c r="O8" i="1" s="1"/>
  <c r="Q8" i="1" s="1"/>
  <c r="D8" i="1" s="1"/>
  <c r="G8" i="1" s="1"/>
  <c r="D32" i="1" s="1"/>
  <c r="D36" i="1"/>
  <c r="D35" i="1"/>
  <c r="J49" i="5"/>
  <c r="J31" i="5"/>
  <c r="H49" i="5"/>
  <c r="H45" i="5"/>
  <c r="A4" i="1"/>
  <c r="O12" i="1"/>
  <c r="Q12" i="1" s="1"/>
  <c r="D12" i="1" s="1"/>
  <c r="G12" i="1" s="1"/>
  <c r="D34" i="1" s="1"/>
  <c r="O7" i="1"/>
  <c r="O5" i="1"/>
  <c r="O4" i="1"/>
  <c r="Q4" i="1" s="1"/>
  <c r="D4" i="1" s="1"/>
  <c r="G4" i="1" s="1"/>
  <c r="D29" i="1" s="1"/>
  <c r="F44" i="5"/>
  <c r="K49" i="5"/>
  <c r="L49" i="5"/>
  <c r="O13" i="1" s="1"/>
  <c r="Q13" i="1" s="1"/>
  <c r="D13" i="1" s="1"/>
  <c r="G13" i="1" s="1"/>
  <c r="O11" i="1"/>
  <c r="Q11" i="1" s="1"/>
  <c r="D11" i="1" s="1"/>
  <c r="G11" i="1" s="1"/>
  <c r="F49" i="5"/>
  <c r="E49" i="5"/>
  <c r="O6" i="1" s="1"/>
  <c r="D49" i="5"/>
  <c r="C49" i="5"/>
  <c r="B49" i="5"/>
  <c r="O3" i="1" s="1"/>
  <c r="Q3" i="1" s="1"/>
  <c r="D3" i="1" s="1"/>
  <c r="G3" i="1" s="1"/>
  <c r="D28" i="1" s="1"/>
  <c r="O9" i="1"/>
  <c r="Q9" i="1" s="1"/>
  <c r="D9" i="1" s="1"/>
  <c r="G9" i="1" s="1"/>
  <c r="D33" i="1" s="1"/>
  <c r="I49" i="5"/>
  <c r="O10" i="1" s="1"/>
  <c r="Q10" i="1" s="1"/>
  <c r="D10" i="1" s="1"/>
  <c r="G10" i="1" s="1"/>
  <c r="D37" i="1" s="1"/>
  <c r="M49" i="5"/>
  <c r="O14" i="1" s="1"/>
  <c r="Q14" i="1" s="1"/>
  <c r="D14" i="1" s="1"/>
  <c r="G14" i="1" s="1"/>
  <c r="D38" i="1" s="1"/>
  <c r="N49" i="5"/>
  <c r="O15" i="1" s="1"/>
  <c r="Q15" i="1" s="1"/>
  <c r="D15" i="1" s="1"/>
  <c r="G15" i="1" s="1"/>
  <c r="D40" i="1" s="1"/>
  <c r="O49" i="5"/>
  <c r="O16" i="1" s="1"/>
  <c r="Q16" i="1" s="1"/>
  <c r="D16" i="1" s="1"/>
  <c r="G16" i="1" s="1"/>
  <c r="D39" i="1" s="1"/>
  <c r="P49" i="5"/>
  <c r="O17" i="1" s="1"/>
  <c r="Q17" i="1" s="1"/>
  <c r="D17" i="1" s="1"/>
  <c r="G17" i="1" s="1"/>
  <c r="D41" i="1" s="1"/>
  <c r="Q49" i="5"/>
  <c r="O18" i="1" s="1"/>
  <c r="Q18" i="1" s="1"/>
  <c r="D18" i="1" s="1"/>
  <c r="G18" i="1" s="1"/>
  <c r="D43" i="1" s="1"/>
  <c r="R49" i="5"/>
  <c r="O19" i="1" s="1"/>
  <c r="Q19" i="1" s="1"/>
  <c r="D19" i="1" s="1"/>
  <c r="G19" i="1" s="1"/>
  <c r="D42" i="1" s="1"/>
  <c r="S49" i="5"/>
  <c r="O20" i="1" s="1"/>
  <c r="Q20" i="1" s="1"/>
  <c r="D20" i="1" s="1"/>
  <c r="G20" i="1" s="1"/>
  <c r="D45" i="1" s="1"/>
  <c r="T49" i="5"/>
  <c r="O21" i="1" s="1"/>
  <c r="Q21" i="1" s="1"/>
  <c r="D21" i="1" s="1"/>
  <c r="G21" i="1" s="1"/>
  <c r="D46" i="1" s="1"/>
  <c r="U49" i="5"/>
  <c r="O22" i="1" s="1"/>
  <c r="Q22" i="1" s="1"/>
  <c r="D22" i="1" s="1"/>
  <c r="G22" i="1" s="1"/>
  <c r="D47" i="1" s="1"/>
  <c r="V49" i="5"/>
  <c r="O23" i="1" s="1"/>
  <c r="Q23" i="1" s="1"/>
  <c r="D23" i="1" s="1"/>
  <c r="G23" i="1" s="1"/>
  <c r="D48" i="1" s="1"/>
  <c r="W49" i="5"/>
  <c r="O24" i="1" s="1"/>
  <c r="Q24" i="1" s="1"/>
  <c r="D24" i="1" s="1"/>
  <c r="G24" i="1" s="1"/>
  <c r="X49" i="5"/>
  <c r="O25" i="1" s="1"/>
  <c r="Q25" i="1" s="1"/>
  <c r="D25" i="1" s="1"/>
  <c r="G25" i="1" s="1"/>
  <c r="D44" i="1" s="1"/>
  <c r="X41" i="5"/>
  <c r="T41" i="5"/>
  <c r="S41" i="5"/>
  <c r="R42" i="5"/>
  <c r="R41" i="5"/>
  <c r="Q41" i="5"/>
  <c r="Q42" i="5"/>
  <c r="P42" i="5"/>
  <c r="P41" i="5"/>
  <c r="O43" i="5"/>
  <c r="O42" i="5"/>
  <c r="O41" i="5"/>
  <c r="N42" i="5"/>
  <c r="N41" i="5"/>
  <c r="M43" i="5"/>
  <c r="M42" i="5"/>
  <c r="M41" i="5"/>
  <c r="L42" i="5"/>
  <c r="L43" i="5"/>
  <c r="L44" i="5"/>
  <c r="L45" i="5"/>
  <c r="L46" i="5"/>
  <c r="L41" i="5"/>
  <c r="K46" i="5"/>
  <c r="K45" i="5"/>
  <c r="K44" i="5"/>
  <c r="K43" i="5"/>
  <c r="K42" i="5"/>
  <c r="K41" i="5"/>
  <c r="J43" i="5"/>
  <c r="J42" i="5"/>
  <c r="J41" i="5"/>
  <c r="I43" i="5"/>
  <c r="I42" i="5"/>
  <c r="I41" i="5"/>
  <c r="H47" i="5"/>
  <c r="H46" i="5"/>
  <c r="H44" i="5"/>
  <c r="H43" i="5"/>
  <c r="H42" i="5"/>
  <c r="H41" i="5"/>
  <c r="G47" i="5"/>
  <c r="G46" i="5"/>
  <c r="G44" i="5"/>
  <c r="G43" i="5"/>
  <c r="G42" i="5"/>
  <c r="G41" i="5"/>
  <c r="F47" i="5"/>
  <c r="F46" i="5"/>
  <c r="F45" i="5"/>
  <c r="F43" i="5"/>
  <c r="F42" i="5"/>
  <c r="F41" i="5"/>
  <c r="E45" i="5"/>
  <c r="E44" i="5"/>
  <c r="E43" i="5"/>
  <c r="E42" i="5"/>
  <c r="E41" i="5"/>
  <c r="D45" i="5"/>
  <c r="D44" i="5"/>
  <c r="D43" i="5"/>
  <c r="D42" i="5"/>
  <c r="D41" i="5"/>
  <c r="C45" i="5"/>
  <c r="C44" i="5"/>
  <c r="C43" i="5"/>
  <c r="C42" i="5"/>
  <c r="C41" i="5"/>
  <c r="B45" i="5"/>
  <c r="B44" i="5"/>
  <c r="B43" i="5"/>
  <c r="B42" i="5"/>
  <c r="B41" i="5"/>
  <c r="X35" i="5"/>
  <c r="T35" i="5"/>
  <c r="S29" i="5"/>
  <c r="R25" i="5"/>
  <c r="R22" i="5"/>
  <c r="Q35" i="5"/>
  <c r="Q30" i="5"/>
  <c r="P29" i="5"/>
  <c r="P23" i="5"/>
  <c r="O35" i="5"/>
  <c r="O23" i="5"/>
  <c r="O22" i="5"/>
  <c r="N29" i="5"/>
  <c r="N23" i="5"/>
  <c r="M26" i="5"/>
  <c r="M25" i="5"/>
  <c r="M23" i="5"/>
  <c r="L38" i="5"/>
  <c r="L35" i="5"/>
  <c r="L34" i="5"/>
  <c r="L29" i="5"/>
  <c r="L28" i="5"/>
  <c r="L27" i="5"/>
  <c r="L25" i="5"/>
  <c r="L23" i="5"/>
  <c r="K38" i="5"/>
  <c r="K27" i="5"/>
  <c r="K26" i="5"/>
  <c r="K25" i="5"/>
  <c r="K24" i="5"/>
  <c r="K23" i="5"/>
  <c r="J38" i="5"/>
  <c r="J35" i="5"/>
  <c r="J29" i="5"/>
  <c r="I31" i="5"/>
  <c r="I37" i="5"/>
  <c r="I28" i="5"/>
  <c r="H39" i="5"/>
  <c r="H38" i="5"/>
  <c r="H35" i="5"/>
  <c r="H34" i="5"/>
  <c r="H32" i="5"/>
  <c r="H31" i="5"/>
  <c r="H30" i="5"/>
  <c r="H29" i="5"/>
  <c r="H28" i="5"/>
  <c r="H23" i="5"/>
  <c r="H22" i="5"/>
  <c r="G38" i="5"/>
  <c r="G37" i="5"/>
  <c r="G35" i="5"/>
  <c r="G33" i="5"/>
  <c r="G32" i="5"/>
  <c r="G31" i="5"/>
  <c r="G30" i="5"/>
  <c r="G28" i="5"/>
  <c r="G26" i="5"/>
  <c r="G25" i="5"/>
  <c r="G23" i="5"/>
  <c r="G22" i="5"/>
  <c r="F38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E32" i="5"/>
  <c r="E31" i="5"/>
  <c r="E30" i="5"/>
  <c r="E28" i="5"/>
  <c r="E24" i="5"/>
  <c r="E23" i="5"/>
  <c r="E22" i="5"/>
  <c r="D39" i="5"/>
  <c r="D38" i="5"/>
  <c r="D37" i="5"/>
  <c r="D36" i="5"/>
  <c r="D35" i="5"/>
  <c r="C38" i="5"/>
  <c r="C36" i="5"/>
  <c r="C35" i="5"/>
  <c r="C33" i="5"/>
  <c r="C32" i="5"/>
  <c r="C31" i="5"/>
  <c r="C30" i="5"/>
  <c r="C29" i="5"/>
  <c r="C27" i="5"/>
  <c r="C26" i="5"/>
  <c r="C25" i="5"/>
  <c r="C23" i="5"/>
  <c r="C22" i="5"/>
  <c r="B39" i="5"/>
  <c r="B32" i="5"/>
  <c r="B30" i="5"/>
  <c r="B27" i="5"/>
  <c r="B23" i="5"/>
  <c r="A38" i="5"/>
  <c r="A39" i="5"/>
  <c r="A34" i="5"/>
  <c r="A35" i="5"/>
  <c r="A36" i="5"/>
  <c r="A37" i="5"/>
  <c r="A23" i="5"/>
  <c r="A24" i="5"/>
  <c r="A25" i="5"/>
  <c r="A26" i="5"/>
  <c r="A27" i="5"/>
  <c r="A28" i="5"/>
  <c r="A29" i="5"/>
  <c r="A30" i="5"/>
  <c r="A31" i="5"/>
  <c r="A32" i="5"/>
  <c r="A33" i="5"/>
  <c r="A22" i="5"/>
  <c r="C25" i="1"/>
  <c r="M25" i="1"/>
  <c r="L25" i="1"/>
  <c r="J25" i="1"/>
  <c r="F43" i="4"/>
  <c r="E43" i="4"/>
  <c r="Q43" i="4" s="1"/>
  <c r="D43" i="4"/>
  <c r="F41" i="4"/>
  <c r="E41" i="4"/>
  <c r="D41" i="4"/>
  <c r="F40" i="4"/>
  <c r="E40" i="4"/>
  <c r="D40" i="4"/>
  <c r="Q40" i="4" s="1"/>
  <c r="F38" i="4"/>
  <c r="E38" i="4"/>
  <c r="D38" i="4"/>
  <c r="F37" i="4"/>
  <c r="Q37" i="4" s="1"/>
  <c r="E37" i="4"/>
  <c r="D37" i="4"/>
  <c r="J34" i="4"/>
  <c r="K34" i="4" s="1"/>
  <c r="H34" i="4"/>
  <c r="I34" i="4" s="1"/>
  <c r="G34" i="4"/>
  <c r="F34" i="4"/>
  <c r="E34" i="4"/>
  <c r="D34" i="4"/>
  <c r="K32" i="4"/>
  <c r="J32" i="4"/>
  <c r="H32" i="4"/>
  <c r="I32" i="4" s="1"/>
  <c r="G32" i="4"/>
  <c r="F32" i="4"/>
  <c r="E32" i="4"/>
  <c r="D32" i="4"/>
  <c r="Q32" i="4" s="1"/>
  <c r="C43" i="4"/>
  <c r="C41" i="4"/>
  <c r="C40" i="4"/>
  <c r="C38" i="4"/>
  <c r="C37" i="4"/>
  <c r="C34" i="4"/>
  <c r="C32" i="4"/>
  <c r="C30" i="4"/>
  <c r="J30" i="4" s="1"/>
  <c r="L30" i="4"/>
  <c r="O30" i="4" s="1"/>
  <c r="H30" i="4"/>
  <c r="I30" i="4" s="1"/>
  <c r="G30" i="4"/>
  <c r="F30" i="4"/>
  <c r="E30" i="4"/>
  <c r="D30" i="4"/>
  <c r="A30" i="4"/>
  <c r="P26" i="4"/>
  <c r="B18" i="4"/>
  <c r="P42" i="4" s="1"/>
  <c r="B15" i="4"/>
  <c r="C39" i="4" s="1"/>
  <c r="B12" i="4"/>
  <c r="B11" i="4"/>
  <c r="C35" i="4" s="1"/>
  <c r="B19" i="4"/>
  <c r="B17" i="4"/>
  <c r="B16" i="4"/>
  <c r="B14" i="4"/>
  <c r="B13" i="4"/>
  <c r="B10" i="4"/>
  <c r="J8" i="3"/>
  <c r="B8" i="4" s="1"/>
  <c r="J10" i="3"/>
  <c r="B6" i="4"/>
  <c r="C33" i="4"/>
  <c r="J6" i="3"/>
  <c r="K18" i="3"/>
  <c r="K15" i="3"/>
  <c r="K12" i="3"/>
  <c r="K11" i="3"/>
  <c r="J22" i="3"/>
  <c r="J19" i="3"/>
  <c r="J17" i="3"/>
  <c r="J16" i="3"/>
  <c r="J14" i="3"/>
  <c r="J13" i="3"/>
  <c r="H8" i="3"/>
  <c r="G26" i="3"/>
  <c r="G25" i="3"/>
  <c r="F25" i="3"/>
  <c r="H21" i="3"/>
  <c r="G24" i="3"/>
  <c r="G23" i="3"/>
  <c r="G22" i="3"/>
  <c r="G21" i="3"/>
  <c r="H12" i="3"/>
  <c r="H10" i="3"/>
  <c r="H11" i="3" s="1"/>
  <c r="H6" i="3"/>
  <c r="H4" i="3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Q41" i="4"/>
  <c r="Q38" i="4"/>
  <c r="Q34" i="4"/>
  <c r="P27" i="4"/>
  <c r="E23" i="4"/>
  <c r="D23" i="4"/>
  <c r="A23" i="4"/>
  <c r="C23" i="4"/>
  <c r="F23" i="4" s="1"/>
  <c r="A25" i="4"/>
  <c r="B25" i="4"/>
  <c r="C21" i="4"/>
  <c r="F21" i="4" s="1"/>
  <c r="C22" i="4"/>
  <c r="D22" i="4" s="1"/>
  <c r="C3" i="4"/>
  <c r="B27" i="4" s="1"/>
  <c r="C4" i="4"/>
  <c r="B28" i="4" s="1"/>
  <c r="C5" i="4"/>
  <c r="B29" i="4" s="1"/>
  <c r="C6" i="4"/>
  <c r="B30" i="4" s="1"/>
  <c r="C7" i="4"/>
  <c r="B31" i="4" s="1"/>
  <c r="C8" i="4"/>
  <c r="B32" i="4" s="1"/>
  <c r="C9" i="4"/>
  <c r="B33" i="4" s="1"/>
  <c r="C10" i="4"/>
  <c r="B34" i="4" s="1"/>
  <c r="C11" i="4"/>
  <c r="B35" i="4" s="1"/>
  <c r="C12" i="4"/>
  <c r="B36" i="4" s="1"/>
  <c r="C13" i="4"/>
  <c r="B37" i="4" s="1"/>
  <c r="C14" i="4"/>
  <c r="B38" i="4" s="1"/>
  <c r="C15" i="4"/>
  <c r="B39" i="4" s="1"/>
  <c r="C16" i="4"/>
  <c r="B40" i="4" s="1"/>
  <c r="C17" i="4"/>
  <c r="B41" i="4" s="1"/>
  <c r="C18" i="4"/>
  <c r="B42" i="4" s="1"/>
  <c r="C19" i="4"/>
  <c r="B43" i="4" s="1"/>
  <c r="C2" i="4"/>
  <c r="B26" i="4" s="1"/>
  <c r="B2" i="4"/>
  <c r="A3" i="4"/>
  <c r="A27" i="4" s="1"/>
  <c r="A4" i="4"/>
  <c r="A28" i="4" s="1"/>
  <c r="A5" i="4"/>
  <c r="A29" i="4" s="1"/>
  <c r="A6" i="4"/>
  <c r="A7" i="4"/>
  <c r="A31" i="4" s="1"/>
  <c r="A8" i="4"/>
  <c r="A32" i="4" s="1"/>
  <c r="A9" i="4"/>
  <c r="A33" i="4" s="1"/>
  <c r="A10" i="4"/>
  <c r="A34" i="4" s="1"/>
  <c r="A11" i="4"/>
  <c r="A35" i="4" s="1"/>
  <c r="A12" i="4"/>
  <c r="A36" i="4" s="1"/>
  <c r="A13" i="4"/>
  <c r="A37" i="4" s="1"/>
  <c r="A14" i="4"/>
  <c r="A38" i="4" s="1"/>
  <c r="A15" i="4"/>
  <c r="A39" i="4" s="1"/>
  <c r="A16" i="4"/>
  <c r="A40" i="4" s="1"/>
  <c r="A17" i="4"/>
  <c r="A41" i="4" s="1"/>
  <c r="A18" i="4"/>
  <c r="A42" i="4" s="1"/>
  <c r="A19" i="4"/>
  <c r="A43" i="4" s="1"/>
  <c r="A2" i="4"/>
  <c r="A26" i="4" s="1"/>
  <c r="B3" i="4"/>
  <c r="C27" i="4" s="1"/>
  <c r="B4" i="4"/>
  <c r="C28" i="4" s="1"/>
  <c r="B5" i="4"/>
  <c r="C29" i="4" s="1"/>
  <c r="B7" i="4"/>
  <c r="C31" i="4" s="1"/>
  <c r="B9" i="4"/>
  <c r="P36" i="4"/>
  <c r="J4" i="1"/>
  <c r="J5" i="1"/>
  <c r="M5" i="1" s="1"/>
  <c r="C5" i="1" s="1"/>
  <c r="J6" i="1"/>
  <c r="M6" i="1" s="1"/>
  <c r="C6" i="1" s="1"/>
  <c r="J7" i="1"/>
  <c r="J8" i="1"/>
  <c r="J9" i="1"/>
  <c r="J10" i="1"/>
  <c r="J11" i="1"/>
  <c r="J12" i="1"/>
  <c r="J13" i="1"/>
  <c r="J14" i="1"/>
  <c r="J15" i="1"/>
  <c r="J16" i="1"/>
  <c r="J17" i="1"/>
  <c r="J18" i="1"/>
  <c r="M18" i="1" s="1"/>
  <c r="C18" i="1" s="1"/>
  <c r="J19" i="1"/>
  <c r="M19" i="1" s="1"/>
  <c r="C19" i="1" s="1"/>
  <c r="J20" i="1"/>
  <c r="M20" i="1" s="1"/>
  <c r="C20" i="1" s="1"/>
  <c r="J21" i="1"/>
  <c r="M21" i="1" s="1"/>
  <c r="C21" i="1" s="1"/>
  <c r="J22" i="1"/>
  <c r="M22" i="1" s="1"/>
  <c r="C22" i="1" s="1"/>
  <c r="J23" i="1"/>
  <c r="M23" i="1" s="1"/>
  <c r="C23" i="1" s="1"/>
  <c r="J24" i="1"/>
  <c r="M24" i="1" s="1"/>
  <c r="C24" i="1" s="1"/>
  <c r="J3" i="1"/>
  <c r="Q5" i="1" l="1"/>
  <c r="D5" i="1" s="1"/>
  <c r="G5" i="1" s="1"/>
  <c r="D49" i="1" s="1"/>
  <c r="Q7" i="1"/>
  <c r="D7" i="1" s="1"/>
  <c r="G7" i="1" s="1"/>
  <c r="D30" i="1" s="1"/>
  <c r="Q6" i="1"/>
  <c r="D6" i="1" s="1"/>
  <c r="G6" i="1" s="1"/>
  <c r="D31" i="1" s="1"/>
  <c r="K30" i="4"/>
  <c r="Q30" i="4"/>
  <c r="M30" i="4"/>
  <c r="N30" i="4"/>
  <c r="P35" i="4"/>
  <c r="C26" i="4"/>
  <c r="E26" i="4" s="1"/>
  <c r="C36" i="4"/>
  <c r="L36" i="4" s="1"/>
  <c r="O36" i="4" s="1"/>
  <c r="M10" i="1"/>
  <c r="C10" i="1" s="1"/>
  <c r="C42" i="4"/>
  <c r="L42" i="4" s="1"/>
  <c r="N42" i="4" s="1"/>
  <c r="M8" i="1"/>
  <c r="C8" i="1" s="1"/>
  <c r="O42" i="4"/>
  <c r="F33" i="4"/>
  <c r="E33" i="4"/>
  <c r="D33" i="4"/>
  <c r="L33" i="4"/>
  <c r="O33" i="4" s="1"/>
  <c r="J33" i="4"/>
  <c r="K33" i="4" s="1"/>
  <c r="H33" i="4"/>
  <c r="I33" i="4" s="1"/>
  <c r="G33" i="4"/>
  <c r="D39" i="4"/>
  <c r="L39" i="4"/>
  <c r="J39" i="4"/>
  <c r="K39" i="4" s="1"/>
  <c r="H39" i="4"/>
  <c r="I39" i="4" s="1"/>
  <c r="F39" i="4"/>
  <c r="E39" i="4"/>
  <c r="G39" i="4"/>
  <c r="F35" i="4"/>
  <c r="L35" i="4"/>
  <c r="O35" i="4" s="1"/>
  <c r="G35" i="4"/>
  <c r="J35" i="4"/>
  <c r="K35" i="4" s="1"/>
  <c r="H35" i="4"/>
  <c r="I35" i="4" s="1"/>
  <c r="E35" i="4"/>
  <c r="D35" i="4"/>
  <c r="J28" i="4"/>
  <c r="K28" i="4" s="1"/>
  <c r="H28" i="4"/>
  <c r="I28" i="4" s="1"/>
  <c r="G28" i="4"/>
  <c r="F28" i="4"/>
  <c r="E28" i="4"/>
  <c r="D28" i="4"/>
  <c r="L28" i="4"/>
  <c r="O28" i="4" s="1"/>
  <c r="L31" i="4"/>
  <c r="O31" i="4" s="1"/>
  <c r="J31" i="4"/>
  <c r="K31" i="4" s="1"/>
  <c r="E31" i="4"/>
  <c r="D31" i="4"/>
  <c r="H31" i="4"/>
  <c r="I31" i="4" s="1"/>
  <c r="G31" i="4"/>
  <c r="F31" i="4"/>
  <c r="D29" i="4"/>
  <c r="H29" i="4"/>
  <c r="I29" i="4" s="1"/>
  <c r="L29" i="4"/>
  <c r="J29" i="4"/>
  <c r="K29" i="4" s="1"/>
  <c r="E29" i="4"/>
  <c r="F29" i="4"/>
  <c r="G29" i="4"/>
  <c r="L27" i="4"/>
  <c r="M27" i="4" s="1"/>
  <c r="J27" i="4"/>
  <c r="K27" i="4" s="1"/>
  <c r="H27" i="4"/>
  <c r="I27" i="4" s="1"/>
  <c r="G27" i="4"/>
  <c r="F27" i="4"/>
  <c r="E27" i="4"/>
  <c r="D27" i="4"/>
  <c r="P31" i="4"/>
  <c r="P30" i="4"/>
  <c r="P32" i="4"/>
  <c r="P29" i="4"/>
  <c r="P28" i="4"/>
  <c r="P33" i="4"/>
  <c r="F42" i="4"/>
  <c r="P41" i="4"/>
  <c r="D36" i="4"/>
  <c r="H42" i="4"/>
  <c r="I42" i="4" s="1"/>
  <c r="P43" i="4"/>
  <c r="G42" i="4"/>
  <c r="P40" i="4"/>
  <c r="E36" i="4"/>
  <c r="D42" i="4"/>
  <c r="P39" i="4"/>
  <c r="F36" i="4"/>
  <c r="J42" i="4"/>
  <c r="K42" i="4" s="1"/>
  <c r="P38" i="4"/>
  <c r="G36" i="4"/>
  <c r="P37" i="4"/>
  <c r="J36" i="4"/>
  <c r="K36" i="4" s="1"/>
  <c r="P34" i="4"/>
  <c r="M36" i="4"/>
  <c r="N36" i="4"/>
  <c r="G26" i="4"/>
  <c r="H26" i="4"/>
  <c r="I26" i="4" s="1"/>
  <c r="L26" i="4"/>
  <c r="O26" i="4" s="1"/>
  <c r="F26" i="4"/>
  <c r="J26" i="4"/>
  <c r="K26" i="4" s="1"/>
  <c r="D26" i="4"/>
  <c r="M26" i="4"/>
  <c r="N26" i="4"/>
  <c r="F22" i="4"/>
  <c r="E22" i="4"/>
  <c r="D21" i="4"/>
  <c r="G22" i="4"/>
  <c r="G23" i="4"/>
  <c r="H22" i="4"/>
  <c r="J22" i="4"/>
  <c r="K22" i="4" s="1"/>
  <c r="L23" i="4"/>
  <c r="M23" i="4" s="1"/>
  <c r="E21" i="4"/>
  <c r="J23" i="4"/>
  <c r="K23" i="4" s="1"/>
  <c r="H23" i="4"/>
  <c r="I23" i="4" s="1"/>
  <c r="A22" i="4"/>
  <c r="O23" i="4"/>
  <c r="N23" i="4"/>
  <c r="I22" i="4"/>
  <c r="M17" i="1"/>
  <c r="C17" i="1" s="1"/>
  <c r="M14" i="1"/>
  <c r="C14" i="1" s="1"/>
  <c r="M13" i="1"/>
  <c r="C13" i="1" s="1"/>
  <c r="M9" i="1"/>
  <c r="C9" i="1" s="1"/>
  <c r="M4" i="1"/>
  <c r="C4" i="1" s="1"/>
  <c r="L4" i="1"/>
  <c r="M7" i="1"/>
  <c r="C7" i="1" s="1"/>
  <c r="M16" i="1"/>
  <c r="C16" i="1" s="1"/>
  <c r="M15" i="1"/>
  <c r="C15" i="1" s="1"/>
  <c r="M11" i="1"/>
  <c r="C11" i="1" s="1"/>
  <c r="M12" i="1"/>
  <c r="C12" i="1" s="1"/>
  <c r="L6" i="1"/>
  <c r="L16" i="1"/>
  <c r="L12" i="1"/>
  <c r="L13" i="1"/>
  <c r="L15" i="1"/>
  <c r="L21" i="1"/>
  <c r="L14" i="1"/>
  <c r="L7" i="1"/>
  <c r="L8" i="1"/>
  <c r="L17" i="1"/>
  <c r="L18" i="1"/>
  <c r="L19" i="1"/>
  <c r="L20" i="1"/>
  <c r="L22" i="1"/>
  <c r="L23" i="1"/>
  <c r="L3" i="1"/>
  <c r="C3" i="1" s="1"/>
  <c r="L24" i="1"/>
  <c r="L5" i="1"/>
  <c r="L9" i="1"/>
  <c r="L10" i="1"/>
  <c r="L11" i="1"/>
  <c r="M42" i="4" l="1"/>
  <c r="E42" i="4"/>
  <c r="H36" i="4"/>
  <c r="I36" i="4" s="1"/>
  <c r="Q27" i="4"/>
  <c r="Q28" i="4"/>
  <c r="N39" i="4"/>
  <c r="O39" i="4"/>
  <c r="M39" i="4"/>
  <c r="Q39" i="4"/>
  <c r="Q31" i="4"/>
  <c r="N28" i="4"/>
  <c r="Q33" i="4"/>
  <c r="Q29" i="4"/>
  <c r="M28" i="4"/>
  <c r="Q35" i="4"/>
  <c r="Q42" i="4"/>
  <c r="Q36" i="4"/>
  <c r="M31" i="4"/>
  <c r="N31" i="4"/>
  <c r="N27" i="4"/>
  <c r="O27" i="4"/>
  <c r="N33" i="4"/>
  <c r="M33" i="4"/>
  <c r="N35" i="4"/>
  <c r="M35" i="4"/>
  <c r="M29" i="4"/>
  <c r="O29" i="4"/>
  <c r="N29" i="4"/>
  <c r="Q26" i="4"/>
  <c r="A21" i="4"/>
</calcChain>
</file>

<file path=xl/sharedStrings.xml><?xml version="1.0" encoding="utf-8"?>
<sst xmlns="http://schemas.openxmlformats.org/spreadsheetml/2006/main" count="996" uniqueCount="175">
  <si>
    <t>Saihara</t>
  </si>
  <si>
    <t>El Juancho</t>
  </si>
  <si>
    <t>Slogan</t>
  </si>
  <si>
    <t>Tormen</t>
  </si>
  <si>
    <t>chatu</t>
  </si>
  <si>
    <t>AND</t>
  </si>
  <si>
    <t>DrWilty</t>
  </si>
  <si>
    <t>Lego</t>
  </si>
  <si>
    <t>Azfalot</t>
  </si>
  <si>
    <t>Dalvila</t>
  </si>
  <si>
    <t>Narvex</t>
  </si>
  <si>
    <t>Diextr79</t>
  </si>
  <si>
    <t>Mask</t>
  </si>
  <si>
    <t>Rin</t>
  </si>
  <si>
    <t>Saviir</t>
  </si>
  <si>
    <t>AlvaGames99</t>
  </si>
  <si>
    <t>Traum</t>
  </si>
  <si>
    <t>Frewe10</t>
  </si>
  <si>
    <t>Foxy</t>
  </si>
  <si>
    <t>Dinokami</t>
  </si>
  <si>
    <t>Ing3nio</t>
  </si>
  <si>
    <t>Leboxi</t>
  </si>
  <si>
    <t>Player</t>
  </si>
  <si>
    <t>H2H (10%)</t>
  </si>
  <si>
    <t>Torneo final (10%)</t>
  </si>
  <si>
    <t>Results (80%)</t>
  </si>
  <si>
    <t>Raw H2H Score</t>
  </si>
  <si>
    <t>Fixed H2H Score</t>
  </si>
  <si>
    <t>19 base</t>
  </si>
  <si>
    <t>diff</t>
  </si>
  <si>
    <t>16+top30+top100</t>
  </si>
  <si>
    <t>19+top100</t>
  </si>
  <si>
    <t>16 base?</t>
  </si>
  <si>
    <t>1 real?</t>
  </si>
  <si>
    <t>Torneo</t>
  </si>
  <si>
    <t>Score</t>
  </si>
  <si>
    <t>Entrants</t>
  </si>
  <si>
    <t>CoD4</t>
  </si>
  <si>
    <t>Corona</t>
  </si>
  <si>
    <t>CoD3</t>
  </si>
  <si>
    <t>Estrella</t>
  </si>
  <si>
    <t>?</t>
  </si>
  <si>
    <t>CoD2</t>
  </si>
  <si>
    <t>Molo (30), Ramon (50), gafce (100)</t>
  </si>
  <si>
    <t>Flor</t>
  </si>
  <si>
    <t>CoD1</t>
  </si>
  <si>
    <t>Champiñón</t>
  </si>
  <si>
    <t>TBO17</t>
  </si>
  <si>
    <t>Saihara (?)</t>
  </si>
  <si>
    <t>TBO16</t>
  </si>
  <si>
    <t>TBO15</t>
  </si>
  <si>
    <t>CR4</t>
  </si>
  <si>
    <t>CR3</t>
  </si>
  <si>
    <t>TBO14</t>
  </si>
  <si>
    <t>CR2</t>
  </si>
  <si>
    <t>CR1</t>
  </si>
  <si>
    <t>TBO13</t>
  </si>
  <si>
    <t>TBO12</t>
  </si>
  <si>
    <t>gafce</t>
  </si>
  <si>
    <t>tormen</t>
  </si>
  <si>
    <t>and</t>
  </si>
  <si>
    <t>wilty</t>
  </si>
  <si>
    <t>egotzon</t>
  </si>
  <si>
    <t>rin</t>
  </si>
  <si>
    <t>traum</t>
  </si>
  <si>
    <t>diextr</t>
  </si>
  <si>
    <t>ing3nio</t>
  </si>
  <si>
    <t>narvex</t>
  </si>
  <si>
    <t>saviir</t>
  </si>
  <si>
    <t>saihara</t>
  </si>
  <si>
    <t>juancho</t>
  </si>
  <si>
    <t>molo</t>
  </si>
  <si>
    <t>andhi</t>
  </si>
  <si>
    <t>aitorx24</t>
  </si>
  <si>
    <t>dalvila</t>
  </si>
  <si>
    <t>mask</t>
  </si>
  <si>
    <t>dinokami</t>
  </si>
  <si>
    <t>frewe</t>
  </si>
  <si>
    <t>ruben04</t>
  </si>
  <si>
    <t>sombreitor</t>
  </si>
  <si>
    <t>ad99</t>
  </si>
  <si>
    <t>adryx</t>
  </si>
  <si>
    <t>nico</t>
  </si>
  <si>
    <t>scisto</t>
  </si>
  <si>
    <t>blackloner</t>
  </si>
  <si>
    <t>ml41</t>
  </si>
  <si>
    <t>pichu</t>
  </si>
  <si>
    <t>ego</t>
  </si>
  <si>
    <t>sabo</t>
  </si>
  <si>
    <t>crotic</t>
  </si>
  <si>
    <t>ori</t>
  </si>
  <si>
    <t>enzoar</t>
  </si>
  <si>
    <t>golo</t>
  </si>
  <si>
    <t>default</t>
  </si>
  <si>
    <t>aaronssj</t>
  </si>
  <si>
    <t>shadow</t>
  </si>
  <si>
    <t>gzuto</t>
  </si>
  <si>
    <t>leboxi</t>
  </si>
  <si>
    <t>lonson</t>
  </si>
  <si>
    <t>salulito</t>
  </si>
  <si>
    <t>ramon</t>
  </si>
  <si>
    <t>jorgito</t>
  </si>
  <si>
    <t>theros</t>
  </si>
  <si>
    <t>cuncario</t>
  </si>
  <si>
    <t>zuka</t>
  </si>
  <si>
    <t>cate</t>
  </si>
  <si>
    <t>sin0n</t>
  </si>
  <si>
    <t>lego</t>
  </si>
  <si>
    <t>fongus</t>
  </si>
  <si>
    <t>hanival</t>
  </si>
  <si>
    <t>may</t>
  </si>
  <si>
    <t>insomnio</t>
  </si>
  <si>
    <t>azfalot</t>
  </si>
  <si>
    <t>seisde</t>
  </si>
  <si>
    <t>daviiid_40</t>
  </si>
  <si>
    <t>berunor</t>
  </si>
  <si>
    <t>c4rn4ge</t>
  </si>
  <si>
    <t>enrique cuadros arce</t>
  </si>
  <si>
    <t>panxino</t>
  </si>
  <si>
    <t>pepitillo</t>
  </si>
  <si>
    <t>alvagames</t>
  </si>
  <si>
    <t>ch1ris</t>
  </si>
  <si>
    <t>mariorg</t>
  </si>
  <si>
    <t>solo</t>
  </si>
  <si>
    <t>angeloti</t>
  </si>
  <si>
    <t>angeleiro</t>
  </si>
  <si>
    <t>peke</t>
  </si>
  <si>
    <t>sara</t>
  </si>
  <si>
    <t>ratope2002</t>
  </si>
  <si>
    <t>slogan</t>
  </si>
  <si>
    <t>tora</t>
  </si>
  <si>
    <t>foxy</t>
  </si>
  <si>
    <t>ukon</t>
  </si>
  <si>
    <t>rackan</t>
  </si>
  <si>
    <t>rmoragar</t>
  </si>
  <si>
    <t>lexatiger</t>
  </si>
  <si>
    <t>Total</t>
  </si>
  <si>
    <t>&lt;8 entrants</t>
  </si>
  <si>
    <t>&lt;16 entrants</t>
  </si>
  <si>
    <t>Score/entrant</t>
  </si>
  <si>
    <t>Score total</t>
  </si>
  <si>
    <t>Suma valores</t>
  </si>
  <si>
    <t>&gt;=16 entrants</t>
  </si>
  <si>
    <t>Neo Sunnyside #8</t>
  </si>
  <si>
    <t>Joseja (?)</t>
  </si>
  <si>
    <t>MaraSmash 8</t>
  </si>
  <si>
    <t>Isma (?)</t>
  </si>
  <si>
    <t>16 base real (1a mitad 2023)</t>
  </si>
  <si>
    <t>Sunnyside Express #21</t>
  </si>
  <si>
    <t>BG Tilts &amp; Taunts 2 (18 sin dqs)</t>
  </si>
  <si>
    <t>Odin Summer Weekly #55</t>
  </si>
  <si>
    <t>ZeShi (100), Xiorad (100)</t>
  </si>
  <si>
    <t>21 supongo?</t>
  </si>
  <si>
    <t>1 entrant =</t>
  </si>
  <si>
    <t>Multiplicador season 6</t>
  </si>
  <si>
    <t>Scores fixed</t>
  </si>
  <si>
    <t>Redondeo</t>
  </si>
  <si>
    <t>Contar este como tier C (&gt;16 entrants) al dividir score por la burrada de puntos que tiene</t>
  </si>
  <si>
    <t>X</t>
  </si>
  <si>
    <t>Tora</t>
  </si>
  <si>
    <t>Torneo final</t>
  </si>
  <si>
    <t>Raw Results Score</t>
  </si>
  <si>
    <t>Fixed Results Score</t>
  </si>
  <si>
    <t>Top ordenado actualmente</t>
  </si>
  <si>
    <t>Entre la season 5 SBS y season 6 se incrementó el score de los primeros 48 entrants, haciendo que los torneos pequeños generasen más puntos más rápido</t>
  </si>
  <si>
    <t>Encuesta WhatsApp</t>
  </si>
  <si>
    <t>V,D</t>
  </si>
  <si>
    <t>V</t>
  </si>
  <si>
    <t>Juancho</t>
  </si>
  <si>
    <t>Diextr</t>
  </si>
  <si>
    <t>Frewe</t>
  </si>
  <si>
    <t>D,J</t>
  </si>
  <si>
    <t>D</t>
  </si>
  <si>
    <t>V,D,J</t>
  </si>
  <si>
    <t>Wilty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</si>
</sst>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1" fillId="3" borderId="0" xfId="0" applyFont="1" applyFill="1"/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AC36-48E3-46BF-9D9E-927B5EEB8933}">
  <dimension ref="A2:Q49"/>
  <sheetViews>
    <sheetView topLeftCell="A7" workbookViewId="0">
      <selection activeCell="L47" sqref="L47"/>
    </sheetView>
  </sheetViews>
  <sheetFormatPr baseColWidth="10" defaultRowHeight="15" x14ac:dyDescent="0.25"/>
  <sheetData>
    <row r="2" spans="1:17" x14ac:dyDescent="0.25">
      <c r="B2" t="s">
        <v>22</v>
      </c>
      <c r="C2" t="s">
        <v>23</v>
      </c>
      <c r="D2" t="s">
        <v>25</v>
      </c>
      <c r="E2" t="s">
        <v>24</v>
      </c>
      <c r="G2" t="s">
        <v>136</v>
      </c>
      <c r="J2" t="s">
        <v>26</v>
      </c>
      <c r="L2" t="s">
        <v>27</v>
      </c>
      <c r="O2" t="s">
        <v>161</v>
      </c>
      <c r="Q2" t="s">
        <v>162</v>
      </c>
    </row>
    <row r="3" spans="1:17" x14ac:dyDescent="0.25">
      <c r="B3" s="4" t="s">
        <v>0</v>
      </c>
      <c r="C3" s="4">
        <f>L3*0.1</f>
        <v>10</v>
      </c>
      <c r="D3" s="4">
        <f>Q3*0.8</f>
        <v>78.917929421336339</v>
      </c>
      <c r="E3" s="4"/>
      <c r="F3" s="4"/>
      <c r="G3" s="4">
        <f>C3+D3+E3</f>
        <v>88.917929421336339</v>
      </c>
      <c r="H3" s="7">
        <v>0</v>
      </c>
      <c r="J3" s="12">
        <f>PuntosBraacket!B1</f>
        <v>6504</v>
      </c>
      <c r="L3" s="4">
        <f>(J3*100/J3)</f>
        <v>100</v>
      </c>
      <c r="O3" s="4">
        <f>PlayerResults!B49</f>
        <v>404.16666666666669</v>
      </c>
      <c r="Q3" s="4">
        <f t="shared" ref="Q3:Q25" si="0">(O3*100)/$O$4</f>
        <v>98.64741177667041</v>
      </c>
    </row>
    <row r="4" spans="1:17" x14ac:dyDescent="0.25">
      <c r="A4">
        <f>L4*0.1</f>
        <v>9.1805043050430495</v>
      </c>
      <c r="B4" t="s">
        <v>1</v>
      </c>
      <c r="C4">
        <f>M4*0.1</f>
        <v>10</v>
      </c>
      <c r="D4">
        <f>Q4*0.8</f>
        <v>80</v>
      </c>
      <c r="G4">
        <f>C4+D4+E4</f>
        <v>90</v>
      </c>
      <c r="H4" s="7">
        <v>1</v>
      </c>
      <c r="J4">
        <f>PuntosBraacket!B2</f>
        <v>5971</v>
      </c>
      <c r="L4">
        <f>(J4*100/J3)</f>
        <v>91.805043050430498</v>
      </c>
      <c r="M4">
        <f>(J4*100)/$J$4</f>
        <v>100</v>
      </c>
      <c r="O4">
        <f>PlayerResults!C49</f>
        <v>409.70833333333331</v>
      </c>
      <c r="Q4">
        <f t="shared" si="0"/>
        <v>99.999999999999986</v>
      </c>
    </row>
    <row r="5" spans="1:17" x14ac:dyDescent="0.25">
      <c r="B5" s="5" t="s">
        <v>2</v>
      </c>
      <c r="C5" s="5">
        <f t="shared" ref="C5:C25" si="1">M5*0.1</f>
        <v>9.207837883101659</v>
      </c>
      <c r="D5" s="5">
        <f t="shared" ref="D5:D25" si="2">Q5*0.8</f>
        <v>65.021865147971127</v>
      </c>
      <c r="E5" s="5"/>
      <c r="F5" s="5"/>
      <c r="G5" s="5">
        <f t="shared" ref="G5:G25" si="3">C5+D5+E5</f>
        <v>74.229703031072788</v>
      </c>
      <c r="H5" s="7" t="s">
        <v>41</v>
      </c>
      <c r="J5" s="5">
        <f>PuntosBraacket!B3</f>
        <v>5498</v>
      </c>
      <c r="L5" s="5">
        <f>(J5*100/J3)</f>
        <v>84.532595325953253</v>
      </c>
      <c r="M5" s="5">
        <f>(J5*100)/$J$4</f>
        <v>92.078378831016579</v>
      </c>
      <c r="O5" s="5">
        <f>PlayerResults!D49</f>
        <v>333</v>
      </c>
      <c r="Q5" s="5">
        <f t="shared" si="0"/>
        <v>81.277331434963898</v>
      </c>
    </row>
    <row r="6" spans="1:17" x14ac:dyDescent="0.25">
      <c r="B6" t="s">
        <v>3</v>
      </c>
      <c r="C6">
        <f t="shared" si="1"/>
        <v>8.837715625523364</v>
      </c>
      <c r="D6">
        <f t="shared" si="2"/>
        <v>48.416556493440453</v>
      </c>
      <c r="G6">
        <f t="shared" si="3"/>
        <v>57.254272118963819</v>
      </c>
      <c r="H6" s="7">
        <v>3</v>
      </c>
      <c r="J6">
        <f>PuntosBraacket!B4</f>
        <v>5277</v>
      </c>
      <c r="L6">
        <f>(J6*100/J3)</f>
        <v>81.134686346863475</v>
      </c>
      <c r="M6">
        <f t="shared" ref="M6:M25" si="4">(J6*100)/$J$4</f>
        <v>88.377156255233629</v>
      </c>
      <c r="O6">
        <f>PlayerResults!E49</f>
        <v>247.95833333333331</v>
      </c>
      <c r="Q6">
        <f t="shared" si="0"/>
        <v>60.520695616800566</v>
      </c>
    </row>
    <row r="7" spans="1:17" x14ac:dyDescent="0.25">
      <c r="B7" t="s">
        <v>4</v>
      </c>
      <c r="C7">
        <f t="shared" si="1"/>
        <v>8.6752637749120751</v>
      </c>
      <c r="D7">
        <f t="shared" si="2"/>
        <v>62.058374860164747</v>
      </c>
      <c r="G7">
        <f t="shared" si="3"/>
        <v>70.733638635076829</v>
      </c>
      <c r="H7" s="7">
        <v>2</v>
      </c>
      <c r="J7">
        <f>PuntosBraacket!B5</f>
        <v>5180</v>
      </c>
      <c r="L7">
        <f>(J7*100/J3)</f>
        <v>79.643296432964334</v>
      </c>
      <c r="M7">
        <f t="shared" si="4"/>
        <v>86.752637749120751</v>
      </c>
      <c r="O7">
        <f>PlayerResults!F49</f>
        <v>317.82291666666663</v>
      </c>
      <c r="Q7">
        <f t="shared" si="0"/>
        <v>77.572968575205934</v>
      </c>
    </row>
    <row r="8" spans="1:17" x14ac:dyDescent="0.25">
      <c r="B8" t="s">
        <v>5</v>
      </c>
      <c r="C8">
        <f t="shared" si="1"/>
        <v>7.8127616814603931</v>
      </c>
      <c r="D8">
        <f t="shared" si="2"/>
        <v>46.504627275500866</v>
      </c>
      <c r="G8">
        <f t="shared" si="3"/>
        <v>54.31738895696126</v>
      </c>
      <c r="H8" s="7">
        <v>4</v>
      </c>
      <c r="J8">
        <f>PuntosBraacket!B6</f>
        <v>4665</v>
      </c>
      <c r="L8">
        <f>(J8*100/J3)</f>
        <v>71.725092250922515</v>
      </c>
      <c r="M8">
        <f>(J8*100)/$J$4</f>
        <v>78.127616814603925</v>
      </c>
      <c r="O8">
        <f>PlayerResults!G49</f>
        <v>238.16666666666666</v>
      </c>
      <c r="Q8">
        <f t="shared" si="0"/>
        <v>58.130784094376075</v>
      </c>
    </row>
    <row r="9" spans="1:17" x14ac:dyDescent="0.25">
      <c r="B9" t="s">
        <v>6</v>
      </c>
      <c r="C9">
        <f t="shared" si="1"/>
        <v>7.0708424049572942</v>
      </c>
      <c r="D9">
        <f t="shared" si="2"/>
        <v>41.240720024407615</v>
      </c>
      <c r="G9">
        <f t="shared" si="3"/>
        <v>48.311562429364912</v>
      </c>
      <c r="H9" s="7">
        <v>5</v>
      </c>
      <c r="J9">
        <f>PuntosBraacket!B7</f>
        <v>4222</v>
      </c>
      <c r="L9">
        <f>(J9*100/J3)</f>
        <v>64.913899138991397</v>
      </c>
      <c r="M9">
        <f t="shared" si="4"/>
        <v>70.70842404957294</v>
      </c>
      <c r="O9">
        <f>PlayerResults!H49</f>
        <v>211.20833333333334</v>
      </c>
      <c r="Q9">
        <f t="shared" si="0"/>
        <v>51.550900030509517</v>
      </c>
    </row>
    <row r="10" spans="1:17" x14ac:dyDescent="0.25">
      <c r="B10" t="s">
        <v>7</v>
      </c>
      <c r="C10">
        <f t="shared" si="1"/>
        <v>6.9619829174342662</v>
      </c>
      <c r="D10">
        <f t="shared" si="2"/>
        <v>20.03864537780942</v>
      </c>
      <c r="G10">
        <f t="shared" si="3"/>
        <v>27.000628295243686</v>
      </c>
      <c r="H10" s="7">
        <v>9</v>
      </c>
      <c r="J10">
        <f>PuntosBraacket!B8</f>
        <v>4157</v>
      </c>
      <c r="L10">
        <f>(J10*100/J3)</f>
        <v>63.914514145141453</v>
      </c>
      <c r="M10">
        <f t="shared" si="4"/>
        <v>69.619829174342655</v>
      </c>
      <c r="O10">
        <f>PlayerResults!I49</f>
        <v>102.625</v>
      </c>
      <c r="Q10">
        <f t="shared" si="0"/>
        <v>25.048306722261774</v>
      </c>
    </row>
    <row r="11" spans="1:17" x14ac:dyDescent="0.25">
      <c r="B11" t="s">
        <v>8</v>
      </c>
      <c r="C11">
        <f t="shared" si="1"/>
        <v>6.1380003349522703</v>
      </c>
      <c r="D11">
        <f t="shared" si="2"/>
        <v>26.803620461710569</v>
      </c>
      <c r="G11">
        <f t="shared" si="3"/>
        <v>32.941620796662839</v>
      </c>
      <c r="H11" s="7">
        <v>8</v>
      </c>
      <c r="J11">
        <f>PuntosBraacket!B9</f>
        <v>3665</v>
      </c>
      <c r="L11">
        <f>(J11*100/J3)</f>
        <v>56.349938499384997</v>
      </c>
      <c r="M11">
        <f t="shared" si="4"/>
        <v>61.380003349522696</v>
      </c>
      <c r="O11">
        <f>PlayerResults!J49</f>
        <v>137.27083333333334</v>
      </c>
      <c r="Q11">
        <f t="shared" si="0"/>
        <v>33.50452557713821</v>
      </c>
    </row>
    <row r="12" spans="1:17" x14ac:dyDescent="0.25">
      <c r="B12" t="s">
        <v>9</v>
      </c>
      <c r="C12">
        <f t="shared" si="1"/>
        <v>6.0207670406967004</v>
      </c>
      <c r="D12">
        <f t="shared" si="2"/>
        <v>35.736804637445339</v>
      </c>
      <c r="G12">
        <f t="shared" si="3"/>
        <v>41.757571678142043</v>
      </c>
      <c r="H12" s="7">
        <v>6</v>
      </c>
      <c r="J12">
        <f>PuntosBraacket!B10</f>
        <v>3595</v>
      </c>
      <c r="L12">
        <f>(J12*100/J3)</f>
        <v>55.273677736777366</v>
      </c>
      <c r="M12">
        <f t="shared" si="4"/>
        <v>60.207670406967004</v>
      </c>
      <c r="O12">
        <f>PlayerResults!K49</f>
        <v>183.02083333333331</v>
      </c>
      <c r="Q12">
        <f t="shared" si="0"/>
        <v>44.671005796806668</v>
      </c>
    </row>
    <row r="13" spans="1:17" x14ac:dyDescent="0.25">
      <c r="B13" t="s">
        <v>10</v>
      </c>
      <c r="C13">
        <f t="shared" si="1"/>
        <v>4.6424384525205156</v>
      </c>
      <c r="D13">
        <f t="shared" si="2"/>
        <v>27.60093562493644</v>
      </c>
      <c r="G13">
        <f t="shared" si="3"/>
        <v>32.243374077456956</v>
      </c>
      <c r="H13" s="7">
        <v>7</v>
      </c>
      <c r="J13">
        <f>PuntosBraacket!B11</f>
        <v>2772</v>
      </c>
      <c r="L13">
        <f>(J13*100/J3)</f>
        <v>42.61992619926199</v>
      </c>
      <c r="M13">
        <f t="shared" si="4"/>
        <v>46.424384525205156</v>
      </c>
      <c r="O13">
        <f>PlayerResults!L49</f>
        <v>141.35416666666666</v>
      </c>
      <c r="Q13">
        <f t="shared" si="0"/>
        <v>34.501169531170547</v>
      </c>
    </row>
    <row r="14" spans="1:17" x14ac:dyDescent="0.25">
      <c r="B14" t="s">
        <v>11</v>
      </c>
      <c r="C14">
        <f t="shared" si="1"/>
        <v>4.4163456707419195</v>
      </c>
      <c r="D14">
        <f t="shared" si="2"/>
        <v>16.629716261568188</v>
      </c>
      <c r="G14">
        <f t="shared" si="3"/>
        <v>21.046061932310106</v>
      </c>
      <c r="H14" s="7">
        <v>10</v>
      </c>
      <c r="J14">
        <f>PuntosBraacket!B12</f>
        <v>2637</v>
      </c>
      <c r="L14">
        <f>(J14*100/J3)</f>
        <v>40.544280442804428</v>
      </c>
      <c r="M14">
        <f t="shared" si="4"/>
        <v>44.163456707419193</v>
      </c>
      <c r="O14">
        <f>PlayerResults!M49</f>
        <v>85.166666666666657</v>
      </c>
      <c r="Q14">
        <f t="shared" si="0"/>
        <v>20.787145326960236</v>
      </c>
    </row>
    <row r="15" spans="1:17" x14ac:dyDescent="0.25">
      <c r="B15" t="s">
        <v>12</v>
      </c>
      <c r="C15">
        <f t="shared" si="1"/>
        <v>4.3694523530396925</v>
      </c>
      <c r="D15">
        <f t="shared" si="2"/>
        <v>9.689819993898098</v>
      </c>
      <c r="G15">
        <f t="shared" si="3"/>
        <v>14.05927234693779</v>
      </c>
      <c r="H15" s="7">
        <v>12</v>
      </c>
      <c r="J15">
        <f>PuntosBraacket!B13</f>
        <v>2609</v>
      </c>
      <c r="L15">
        <f>(J15*100/J3)</f>
        <v>40.113776137761377</v>
      </c>
      <c r="M15">
        <f t="shared" si="4"/>
        <v>43.694523530396921</v>
      </c>
      <c r="O15">
        <f>PlayerResults!N49</f>
        <v>49.625</v>
      </c>
      <c r="Q15">
        <f t="shared" si="0"/>
        <v>12.112274992372623</v>
      </c>
    </row>
    <row r="16" spans="1:17" x14ac:dyDescent="0.25">
      <c r="B16" t="s">
        <v>13</v>
      </c>
      <c r="C16">
        <f t="shared" si="1"/>
        <v>3.7514654161781951</v>
      </c>
      <c r="D16">
        <f t="shared" si="2"/>
        <v>14.278450116953119</v>
      </c>
      <c r="G16">
        <f t="shared" si="3"/>
        <v>18.029915533131312</v>
      </c>
      <c r="H16" s="7">
        <v>11</v>
      </c>
      <c r="J16">
        <f>PuntosBraacket!B14</f>
        <v>2240</v>
      </c>
      <c r="L16">
        <f>(J16*100/J3)</f>
        <v>34.440344403444037</v>
      </c>
      <c r="M16">
        <f t="shared" si="4"/>
        <v>37.514654161781948</v>
      </c>
      <c r="O16">
        <f>PlayerResults!O49</f>
        <v>73.125</v>
      </c>
      <c r="Q16">
        <f t="shared" si="0"/>
        <v>17.848062646191398</v>
      </c>
    </row>
    <row r="17" spans="1:17" x14ac:dyDescent="0.25">
      <c r="B17" t="s">
        <v>14</v>
      </c>
      <c r="C17">
        <f t="shared" si="1"/>
        <v>3.6392564059621506</v>
      </c>
      <c r="D17">
        <f t="shared" si="2"/>
        <v>9.689819993898098</v>
      </c>
      <c r="G17">
        <f t="shared" si="3"/>
        <v>13.329076399860249</v>
      </c>
      <c r="H17" s="7">
        <v>13</v>
      </c>
      <c r="J17">
        <f>PuntosBraacket!B15</f>
        <v>2173</v>
      </c>
      <c r="L17">
        <f>(J17*100/J3)</f>
        <v>33.410209102091024</v>
      </c>
      <c r="M17">
        <f t="shared" si="4"/>
        <v>36.392564059621506</v>
      </c>
      <c r="O17">
        <f>PlayerResults!P49</f>
        <v>49.625</v>
      </c>
      <c r="Q17">
        <f t="shared" si="0"/>
        <v>12.112274992372623</v>
      </c>
    </row>
    <row r="18" spans="1:17" x14ac:dyDescent="0.25">
      <c r="B18" t="s">
        <v>15</v>
      </c>
      <c r="C18">
        <f t="shared" si="1"/>
        <v>3.2205660693351201</v>
      </c>
      <c r="D18">
        <f t="shared" si="2"/>
        <v>8.7704667954845927</v>
      </c>
      <c r="G18">
        <f t="shared" si="3"/>
        <v>11.991032864819713</v>
      </c>
      <c r="H18" s="7">
        <v>15</v>
      </c>
      <c r="J18">
        <f>PuntosBraacket!B16</f>
        <v>1923</v>
      </c>
      <c r="L18">
        <f>(J18*100/J3)</f>
        <v>29.566420664206642</v>
      </c>
      <c r="M18">
        <f t="shared" si="4"/>
        <v>32.205660693351199</v>
      </c>
      <c r="O18">
        <f>PlayerResults!Q49</f>
        <v>44.916666666666671</v>
      </c>
      <c r="Q18">
        <f t="shared" si="0"/>
        <v>10.963083494355741</v>
      </c>
    </row>
    <row r="19" spans="1:17" x14ac:dyDescent="0.25">
      <c r="B19" t="s">
        <v>16</v>
      </c>
      <c r="C19">
        <f t="shared" si="1"/>
        <v>3.0731870708424052</v>
      </c>
      <c r="D19">
        <f t="shared" si="2"/>
        <v>10.153564527611106</v>
      </c>
      <c r="G19">
        <f t="shared" si="3"/>
        <v>13.226751598453511</v>
      </c>
      <c r="H19" s="7">
        <v>14</v>
      </c>
      <c r="J19">
        <f>PuntosBraacket!B17</f>
        <v>1835</v>
      </c>
      <c r="L19">
        <f>(J19*100/J3)</f>
        <v>28.213407134071339</v>
      </c>
      <c r="M19">
        <f t="shared" si="4"/>
        <v>30.731870708424051</v>
      </c>
      <c r="O19">
        <f>PlayerResults!R49</f>
        <v>52</v>
      </c>
      <c r="Q19">
        <f t="shared" si="0"/>
        <v>12.691955659513882</v>
      </c>
    </row>
    <row r="20" spans="1:17" x14ac:dyDescent="0.25">
      <c r="B20" t="s">
        <v>17</v>
      </c>
      <c r="C20">
        <f t="shared" si="1"/>
        <v>2.5188410651482167</v>
      </c>
      <c r="D20">
        <f t="shared" si="2"/>
        <v>4.8327061934302868</v>
      </c>
      <c r="G20">
        <f t="shared" si="3"/>
        <v>7.3515472585785036</v>
      </c>
      <c r="H20" s="7">
        <v>17</v>
      </c>
      <c r="J20">
        <f>PuntosBraacket!B18</f>
        <v>1504</v>
      </c>
      <c r="L20">
        <f>(J20*100/J3)</f>
        <v>23.124231242312423</v>
      </c>
      <c r="M20">
        <f t="shared" si="4"/>
        <v>25.188410651482165</v>
      </c>
      <c r="O20">
        <f>PlayerResults!S49</f>
        <v>24.75</v>
      </c>
      <c r="Q20">
        <f t="shared" si="0"/>
        <v>6.0408827417878577</v>
      </c>
    </row>
    <row r="21" spans="1:17" x14ac:dyDescent="0.25">
      <c r="B21" t="s">
        <v>18</v>
      </c>
      <c r="C21">
        <f t="shared" si="1"/>
        <v>2.3530396918439123</v>
      </c>
      <c r="D21">
        <f t="shared" si="2"/>
        <v>4.2713312315671725</v>
      </c>
      <c r="G21">
        <f t="shared" si="3"/>
        <v>6.6243709234110852</v>
      </c>
      <c r="H21" s="7">
        <v>18</v>
      </c>
      <c r="J21">
        <f>PuntosBraacket!B19</f>
        <v>1405</v>
      </c>
      <c r="L21">
        <f>(J21*100/J3)</f>
        <v>21.602091020910208</v>
      </c>
      <c r="M21">
        <f t="shared" si="4"/>
        <v>23.530396918439124</v>
      </c>
      <c r="O21">
        <f>PlayerResults!T49</f>
        <v>21.875</v>
      </c>
      <c r="Q21">
        <f t="shared" si="0"/>
        <v>5.3391640394589652</v>
      </c>
    </row>
    <row r="22" spans="1:17" x14ac:dyDescent="0.25">
      <c r="B22" t="s">
        <v>19</v>
      </c>
      <c r="C22">
        <f t="shared" si="1"/>
        <v>1.3615809747111038</v>
      </c>
      <c r="D22">
        <f t="shared" si="2"/>
        <v>0</v>
      </c>
      <c r="G22">
        <f t="shared" si="3"/>
        <v>1.3615809747111038</v>
      </c>
      <c r="H22" s="7">
        <v>19</v>
      </c>
      <c r="J22">
        <f>PuntosBraacket!B20</f>
        <v>813</v>
      </c>
      <c r="L22">
        <f>(J22*100/J3)</f>
        <v>12.5</v>
      </c>
      <c r="M22">
        <f t="shared" si="4"/>
        <v>13.615809747111037</v>
      </c>
      <c r="O22">
        <f>PlayerResults!U49</f>
        <v>0</v>
      </c>
      <c r="Q22">
        <f t="shared" si="0"/>
        <v>0</v>
      </c>
    </row>
    <row r="23" spans="1:17" x14ac:dyDescent="0.25">
      <c r="B23" t="s">
        <v>20</v>
      </c>
      <c r="C23">
        <f t="shared" si="1"/>
        <v>0.10718472617651985</v>
      </c>
      <c r="D23">
        <f t="shared" si="2"/>
        <v>0</v>
      </c>
      <c r="G23">
        <f t="shared" si="3"/>
        <v>0.10718472617651985</v>
      </c>
      <c r="H23" s="7">
        <v>20</v>
      </c>
      <c r="J23">
        <f>PuntosBraacket!B21</f>
        <v>64</v>
      </c>
      <c r="L23">
        <f>(J23*100/J3)</f>
        <v>0.98400984009840098</v>
      </c>
      <c r="M23">
        <f t="shared" si="4"/>
        <v>1.0718472617651984</v>
      </c>
      <c r="O23">
        <f>PlayerResults!V49</f>
        <v>0</v>
      </c>
      <c r="Q23">
        <f t="shared" si="0"/>
        <v>0</v>
      </c>
    </row>
    <row r="24" spans="1:17" x14ac:dyDescent="0.25">
      <c r="B24" t="s">
        <v>21</v>
      </c>
      <c r="C24">
        <f t="shared" si="1"/>
        <v>0</v>
      </c>
      <c r="D24">
        <f t="shared" si="2"/>
        <v>0</v>
      </c>
      <c r="G24">
        <f t="shared" si="3"/>
        <v>0</v>
      </c>
      <c r="H24" s="7">
        <v>21</v>
      </c>
      <c r="J24">
        <f>PuntosBraacket!B22</f>
        <v>0</v>
      </c>
      <c r="L24">
        <f>(J24*100/J3)</f>
        <v>0</v>
      </c>
      <c r="M24">
        <f t="shared" si="4"/>
        <v>0</v>
      </c>
      <c r="O24">
        <f>PlayerResults!W49</f>
        <v>0</v>
      </c>
      <c r="Q24">
        <f t="shared" si="0"/>
        <v>0</v>
      </c>
    </row>
    <row r="25" spans="1:17" x14ac:dyDescent="0.25">
      <c r="B25" t="s">
        <v>159</v>
      </c>
      <c r="C25">
        <f t="shared" si="1"/>
        <v>4.6273656004019434</v>
      </c>
      <c r="D25">
        <f t="shared" si="2"/>
        <v>7.118885385945287</v>
      </c>
      <c r="G25">
        <f t="shared" si="3"/>
        <v>11.746250986347231</v>
      </c>
      <c r="H25" s="7">
        <v>16</v>
      </c>
      <c r="J25">
        <f>PuntosBraacket!B23</f>
        <v>2763</v>
      </c>
      <c r="L25">
        <f>(J25*100/J4)</f>
        <v>46.273656004019429</v>
      </c>
      <c r="M25">
        <f t="shared" si="4"/>
        <v>46.273656004019429</v>
      </c>
      <c r="O25">
        <f>PlayerResults!X49</f>
        <v>36.458333333333336</v>
      </c>
      <c r="Q25">
        <f t="shared" si="0"/>
        <v>8.8986067324316078</v>
      </c>
    </row>
    <row r="27" spans="1:17" x14ac:dyDescent="0.25">
      <c r="B27" t="s">
        <v>163</v>
      </c>
    </row>
    <row r="28" spans="1:17" x14ac:dyDescent="0.25">
      <c r="A28" s="13">
        <v>0</v>
      </c>
      <c r="B28" s="4" t="s">
        <v>0</v>
      </c>
      <c r="C28" s="4"/>
      <c r="D28" s="4">
        <f>G3</f>
        <v>88.917929421336339</v>
      </c>
      <c r="F28" t="s">
        <v>165</v>
      </c>
      <c r="I28" t="s">
        <v>167</v>
      </c>
      <c r="J28" t="s">
        <v>172</v>
      </c>
    </row>
    <row r="29" spans="1:17" x14ac:dyDescent="0.25">
      <c r="A29" s="7">
        <v>1</v>
      </c>
      <c r="B29" t="s">
        <v>1</v>
      </c>
      <c r="D29">
        <f>G4</f>
        <v>90</v>
      </c>
      <c r="F29" s="15" t="s">
        <v>1</v>
      </c>
      <c r="G29" s="15" t="s">
        <v>166</v>
      </c>
      <c r="I29" t="s">
        <v>168</v>
      </c>
      <c r="J29" t="s">
        <v>168</v>
      </c>
    </row>
    <row r="30" spans="1:17" x14ac:dyDescent="0.25">
      <c r="A30" s="7">
        <v>2</v>
      </c>
      <c r="B30" t="s">
        <v>4</v>
      </c>
      <c r="D30">
        <f>G7</f>
        <v>70.733638635076829</v>
      </c>
      <c r="F30" s="15" t="s">
        <v>4</v>
      </c>
      <c r="G30" s="15" t="s">
        <v>166</v>
      </c>
      <c r="I30" t="s">
        <v>4</v>
      </c>
      <c r="J30" t="s">
        <v>4</v>
      </c>
    </row>
    <row r="31" spans="1:17" x14ac:dyDescent="0.25">
      <c r="A31" s="7">
        <v>3</v>
      </c>
      <c r="B31" t="s">
        <v>3</v>
      </c>
      <c r="D31">
        <f>G6</f>
        <v>57.254272118963819</v>
      </c>
      <c r="F31" s="15" t="s">
        <v>3</v>
      </c>
      <c r="G31" s="15" t="s">
        <v>173</v>
      </c>
      <c r="I31" t="s">
        <v>3</v>
      </c>
      <c r="J31" t="s">
        <v>3</v>
      </c>
    </row>
    <row r="32" spans="1:17" x14ac:dyDescent="0.25">
      <c r="A32" s="7">
        <v>4</v>
      </c>
      <c r="B32" t="s">
        <v>5</v>
      </c>
      <c r="D32">
        <f>G8</f>
        <v>54.31738895696126</v>
      </c>
      <c r="F32" s="2" t="s">
        <v>5</v>
      </c>
      <c r="J32" t="s">
        <v>174</v>
      </c>
    </row>
    <row r="33" spans="1:10" x14ac:dyDescent="0.25">
      <c r="A33" s="7">
        <v>5</v>
      </c>
      <c r="B33" t="s">
        <v>6</v>
      </c>
      <c r="D33">
        <f>G9</f>
        <v>48.311562429364912</v>
      </c>
      <c r="F33" s="15" t="s">
        <v>6</v>
      </c>
      <c r="G33" s="15" t="s">
        <v>171</v>
      </c>
      <c r="I33" t="s">
        <v>9</v>
      </c>
      <c r="J33" t="s">
        <v>9</v>
      </c>
    </row>
    <row r="34" spans="1:10" x14ac:dyDescent="0.25">
      <c r="A34" s="7">
        <v>6</v>
      </c>
      <c r="B34" t="s">
        <v>9</v>
      </c>
      <c r="D34">
        <f>G12</f>
        <v>41.757571678142043</v>
      </c>
      <c r="F34" s="15" t="s">
        <v>9</v>
      </c>
      <c r="G34" s="15" t="s">
        <v>173</v>
      </c>
      <c r="J34" t="s">
        <v>10</v>
      </c>
    </row>
    <row r="35" spans="1:10" x14ac:dyDescent="0.25">
      <c r="A35" s="7">
        <v>7</v>
      </c>
      <c r="B35" t="s">
        <v>8</v>
      </c>
      <c r="D35">
        <f>G11</f>
        <v>32.941620796662839</v>
      </c>
      <c r="F35" s="15" t="s">
        <v>10</v>
      </c>
      <c r="G35" s="15" t="s">
        <v>171</v>
      </c>
      <c r="I35" t="s">
        <v>169</v>
      </c>
      <c r="J35" t="s">
        <v>169</v>
      </c>
    </row>
    <row r="36" spans="1:10" x14ac:dyDescent="0.25">
      <c r="A36" s="7">
        <v>8</v>
      </c>
      <c r="B36" t="s">
        <v>10</v>
      </c>
      <c r="D36">
        <f>G13</f>
        <v>32.243374077456956</v>
      </c>
      <c r="F36" s="2" t="s">
        <v>8</v>
      </c>
      <c r="I36" t="s">
        <v>13</v>
      </c>
      <c r="J36" t="s">
        <v>13</v>
      </c>
    </row>
    <row r="37" spans="1:10" x14ac:dyDescent="0.25">
      <c r="A37" s="7">
        <v>9</v>
      </c>
      <c r="B37" t="s">
        <v>7</v>
      </c>
      <c r="D37">
        <f>G10</f>
        <v>27.000628295243686</v>
      </c>
      <c r="F37" s="2" t="s">
        <v>7</v>
      </c>
      <c r="I37" t="s">
        <v>12</v>
      </c>
      <c r="J37" t="s">
        <v>12</v>
      </c>
    </row>
    <row r="38" spans="1:10" x14ac:dyDescent="0.25">
      <c r="A38" s="7">
        <v>10</v>
      </c>
      <c r="B38" t="s">
        <v>11</v>
      </c>
      <c r="D38">
        <f>G14</f>
        <v>21.046061932310106</v>
      </c>
      <c r="F38" s="15" t="s">
        <v>11</v>
      </c>
      <c r="G38" s="15" t="s">
        <v>173</v>
      </c>
      <c r="I38" t="s">
        <v>14</v>
      </c>
      <c r="J38" t="s">
        <v>14</v>
      </c>
    </row>
    <row r="39" spans="1:10" x14ac:dyDescent="0.25">
      <c r="A39" s="7">
        <v>11</v>
      </c>
      <c r="B39" t="s">
        <v>13</v>
      </c>
      <c r="D39">
        <f>G16</f>
        <v>18.029915533131312</v>
      </c>
      <c r="F39" s="15" t="s">
        <v>13</v>
      </c>
      <c r="G39" s="15" t="s">
        <v>166</v>
      </c>
      <c r="J39" t="s">
        <v>16</v>
      </c>
    </row>
    <row r="40" spans="1:10" x14ac:dyDescent="0.25">
      <c r="A40" s="7">
        <v>12</v>
      </c>
      <c r="B40" t="s">
        <v>12</v>
      </c>
      <c r="D40">
        <f>G15</f>
        <v>14.05927234693779</v>
      </c>
      <c r="F40" s="15" t="s">
        <v>12</v>
      </c>
      <c r="G40" s="15" t="s">
        <v>166</v>
      </c>
      <c r="I40" t="s">
        <v>170</v>
      </c>
      <c r="J40" t="s">
        <v>170</v>
      </c>
    </row>
    <row r="41" spans="1:10" x14ac:dyDescent="0.25">
      <c r="A41" s="7">
        <v>13</v>
      </c>
      <c r="B41" t="s">
        <v>14</v>
      </c>
      <c r="D41">
        <f>G17</f>
        <v>13.329076399860249</v>
      </c>
      <c r="F41" s="15" t="s">
        <v>14</v>
      </c>
      <c r="G41" s="15" t="s">
        <v>166</v>
      </c>
    </row>
    <row r="42" spans="1:10" x14ac:dyDescent="0.25">
      <c r="A42" s="7">
        <v>14</v>
      </c>
      <c r="B42" t="s">
        <v>16</v>
      </c>
      <c r="D42">
        <f>G19</f>
        <v>13.226751598453511</v>
      </c>
      <c r="F42" s="15" t="s">
        <v>16</v>
      </c>
      <c r="G42" s="15" t="s">
        <v>172</v>
      </c>
    </row>
    <row r="43" spans="1:10" x14ac:dyDescent="0.25">
      <c r="A43" s="7">
        <v>15</v>
      </c>
      <c r="B43" t="s">
        <v>15</v>
      </c>
      <c r="D43">
        <f>G18</f>
        <v>11.991032864819713</v>
      </c>
      <c r="F43" s="2" t="s">
        <v>15</v>
      </c>
    </row>
    <row r="44" spans="1:10" x14ac:dyDescent="0.25">
      <c r="A44" s="7">
        <v>16</v>
      </c>
      <c r="B44" t="s">
        <v>159</v>
      </c>
      <c r="D44">
        <f>G25</f>
        <v>11.746250986347231</v>
      </c>
      <c r="F44" s="15" t="s">
        <v>17</v>
      </c>
      <c r="G44" s="15" t="s">
        <v>166</v>
      </c>
    </row>
    <row r="45" spans="1:10" x14ac:dyDescent="0.25">
      <c r="A45" s="7">
        <v>17</v>
      </c>
      <c r="B45" t="s">
        <v>17</v>
      </c>
      <c r="D45">
        <f>G20</f>
        <v>7.3515472585785036</v>
      </c>
    </row>
    <row r="46" spans="1:10" x14ac:dyDescent="0.25">
      <c r="A46" s="7">
        <v>18</v>
      </c>
      <c r="B46" t="s">
        <v>18</v>
      </c>
      <c r="D46">
        <f>G21</f>
        <v>6.6243709234110852</v>
      </c>
    </row>
    <row r="47" spans="1:10" x14ac:dyDescent="0.25">
      <c r="A47" s="7">
        <v>19</v>
      </c>
      <c r="B47" t="s">
        <v>19</v>
      </c>
      <c r="D47">
        <f>G22</f>
        <v>1.3615809747111038</v>
      </c>
    </row>
    <row r="48" spans="1:10" x14ac:dyDescent="0.25">
      <c r="A48" s="7">
        <v>20</v>
      </c>
      <c r="B48" t="s">
        <v>20</v>
      </c>
      <c r="D48">
        <f>G23</f>
        <v>0.10718472617651985</v>
      </c>
    </row>
    <row r="49" spans="1:4" x14ac:dyDescent="0.25">
      <c r="A49" s="14" t="s">
        <v>41</v>
      </c>
      <c r="B49" s="5" t="s">
        <v>2</v>
      </c>
      <c r="C49" s="5"/>
      <c r="D49" s="5">
        <f>G5</f>
        <v>74.229703031072788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7222-495A-42A5-8C26-29B739D7A8CD}">
  <dimension ref="A1:L27"/>
  <sheetViews>
    <sheetView workbookViewId="0">
      <selection activeCell="M11" sqref="M11"/>
    </sheetView>
  </sheetViews>
  <sheetFormatPr baseColWidth="10" defaultRowHeight="15" x14ac:dyDescent="0.25"/>
  <sheetData>
    <row r="1" spans="1:12" x14ac:dyDescent="0.25">
      <c r="A1" t="s">
        <v>34</v>
      </c>
      <c r="B1" t="s">
        <v>35</v>
      </c>
      <c r="C1" t="s">
        <v>36</v>
      </c>
    </row>
    <row r="2" spans="1:12" x14ac:dyDescent="0.25">
      <c r="A2" t="s">
        <v>37</v>
      </c>
      <c r="B2">
        <v>422</v>
      </c>
      <c r="C2">
        <v>16</v>
      </c>
      <c r="G2" t="s">
        <v>28</v>
      </c>
      <c r="H2">
        <v>398</v>
      </c>
    </row>
    <row r="3" spans="1:12" x14ac:dyDescent="0.25">
      <c r="A3" t="s">
        <v>38</v>
      </c>
      <c r="B3">
        <v>398</v>
      </c>
      <c r="C3">
        <v>19</v>
      </c>
      <c r="G3" t="s">
        <v>31</v>
      </c>
      <c r="H3">
        <v>410</v>
      </c>
    </row>
    <row r="4" spans="1:12" x14ac:dyDescent="0.25">
      <c r="A4" t="s">
        <v>39</v>
      </c>
      <c r="B4">
        <v>596</v>
      </c>
      <c r="C4">
        <v>25</v>
      </c>
      <c r="G4" t="s">
        <v>29</v>
      </c>
      <c r="H4">
        <f>H3-H2</f>
        <v>12</v>
      </c>
    </row>
    <row r="5" spans="1:12" x14ac:dyDescent="0.25">
      <c r="A5" t="s">
        <v>40</v>
      </c>
      <c r="B5">
        <v>410</v>
      </c>
      <c r="C5">
        <v>19</v>
      </c>
    </row>
    <row r="6" spans="1:12" x14ac:dyDescent="0.25">
      <c r="A6" t="s">
        <v>42</v>
      </c>
      <c r="B6" t="s">
        <v>41</v>
      </c>
      <c r="C6">
        <v>15</v>
      </c>
      <c r="D6" t="s">
        <v>43</v>
      </c>
      <c r="G6">
        <v>1</v>
      </c>
      <c r="H6">
        <f>H2/19</f>
        <v>20.94736842105263</v>
      </c>
      <c r="J6">
        <f>(21*C6)+12+30+65</f>
        <v>422</v>
      </c>
      <c r="K6" t="s">
        <v>157</v>
      </c>
    </row>
    <row r="7" spans="1:12" x14ac:dyDescent="0.25">
      <c r="A7" t="s">
        <v>44</v>
      </c>
      <c r="B7">
        <v>366</v>
      </c>
      <c r="C7">
        <v>17</v>
      </c>
      <c r="G7" t="s">
        <v>30</v>
      </c>
      <c r="H7">
        <v>422</v>
      </c>
    </row>
    <row r="8" spans="1:12" x14ac:dyDescent="0.25">
      <c r="A8" t="s">
        <v>45</v>
      </c>
      <c r="B8" t="s">
        <v>41</v>
      </c>
      <c r="C8">
        <v>11</v>
      </c>
      <c r="G8" t="s">
        <v>32</v>
      </c>
      <c r="H8">
        <f>H6*16</f>
        <v>335.15789473684208</v>
      </c>
      <c r="J8">
        <f>(21*C8)</f>
        <v>231</v>
      </c>
    </row>
    <row r="9" spans="1:12" x14ac:dyDescent="0.25">
      <c r="A9" t="s">
        <v>46</v>
      </c>
      <c r="B9">
        <v>396</v>
      </c>
      <c r="C9">
        <v>17</v>
      </c>
      <c r="G9" t="s">
        <v>147</v>
      </c>
      <c r="H9">
        <v>313</v>
      </c>
      <c r="K9" t="s">
        <v>154</v>
      </c>
    </row>
    <row r="10" spans="1:12" x14ac:dyDescent="0.25">
      <c r="A10" t="s">
        <v>47</v>
      </c>
      <c r="B10" t="s">
        <v>41</v>
      </c>
      <c r="C10">
        <v>12</v>
      </c>
      <c r="D10" t="s">
        <v>48</v>
      </c>
      <c r="G10" t="s">
        <v>33</v>
      </c>
      <c r="H10">
        <f>H9/16</f>
        <v>19.5625</v>
      </c>
      <c r="J10">
        <f>(21*C10)</f>
        <v>252</v>
      </c>
      <c r="L10" t="s">
        <v>156</v>
      </c>
    </row>
    <row r="11" spans="1:12" x14ac:dyDescent="0.25">
      <c r="A11" t="s">
        <v>49</v>
      </c>
      <c r="B11">
        <v>348</v>
      </c>
      <c r="C11">
        <v>18</v>
      </c>
      <c r="H11">
        <f>H10*20</f>
        <v>391.25</v>
      </c>
      <c r="K11">
        <f>B11*$J$22</f>
        <v>389.1373801916933</v>
      </c>
      <c r="L11">
        <v>389</v>
      </c>
    </row>
    <row r="12" spans="1:12" x14ac:dyDescent="0.25">
      <c r="A12" t="s">
        <v>50</v>
      </c>
      <c r="B12">
        <v>411</v>
      </c>
      <c r="C12">
        <v>20</v>
      </c>
      <c r="H12">
        <f>H6*19</f>
        <v>398</v>
      </c>
      <c r="K12">
        <f>B12*$J$22</f>
        <v>459.58466453674123</v>
      </c>
      <c r="L12">
        <v>460</v>
      </c>
    </row>
    <row r="13" spans="1:12" x14ac:dyDescent="0.25">
      <c r="A13" t="s">
        <v>51</v>
      </c>
      <c r="B13" t="s">
        <v>41</v>
      </c>
      <c r="C13">
        <v>4</v>
      </c>
      <c r="J13">
        <f>(21*C13)</f>
        <v>84</v>
      </c>
    </row>
    <row r="14" spans="1:12" x14ac:dyDescent="0.25">
      <c r="A14" t="s">
        <v>52</v>
      </c>
      <c r="B14" t="s">
        <v>41</v>
      </c>
      <c r="C14">
        <v>5</v>
      </c>
      <c r="J14">
        <f>(21*C14)</f>
        <v>105</v>
      </c>
    </row>
    <row r="15" spans="1:12" x14ac:dyDescent="0.25">
      <c r="A15" t="s">
        <v>53</v>
      </c>
      <c r="B15">
        <v>313</v>
      </c>
      <c r="C15">
        <v>16</v>
      </c>
      <c r="K15">
        <f>B15*$J$22</f>
        <v>350.00000000000006</v>
      </c>
      <c r="L15">
        <v>350</v>
      </c>
    </row>
    <row r="16" spans="1:12" x14ac:dyDescent="0.25">
      <c r="A16" t="s">
        <v>54</v>
      </c>
      <c r="B16" t="s">
        <v>41</v>
      </c>
      <c r="C16">
        <v>7</v>
      </c>
      <c r="J16">
        <f>(21*C16)</f>
        <v>147</v>
      </c>
    </row>
    <row r="17" spans="1:12" x14ac:dyDescent="0.25">
      <c r="A17" t="s">
        <v>55</v>
      </c>
      <c r="B17" t="s">
        <v>41</v>
      </c>
      <c r="C17">
        <v>5</v>
      </c>
      <c r="J17">
        <f>(21*C17)</f>
        <v>105</v>
      </c>
    </row>
    <row r="18" spans="1:12" x14ac:dyDescent="0.25">
      <c r="A18" t="s">
        <v>56</v>
      </c>
      <c r="B18">
        <v>378</v>
      </c>
      <c r="C18">
        <v>18</v>
      </c>
      <c r="K18">
        <f>B18*$J$22</f>
        <v>422.6837060702876</v>
      </c>
      <c r="L18">
        <v>423</v>
      </c>
    </row>
    <row r="19" spans="1:12" x14ac:dyDescent="0.25">
      <c r="A19" t="s">
        <v>57</v>
      </c>
      <c r="B19" t="s">
        <v>41</v>
      </c>
      <c r="C19">
        <v>7</v>
      </c>
      <c r="D19" t="s">
        <v>48</v>
      </c>
      <c r="J19">
        <f>(21*C19)</f>
        <v>147</v>
      </c>
    </row>
    <row r="21" spans="1:12" x14ac:dyDescent="0.25">
      <c r="A21" t="s">
        <v>143</v>
      </c>
      <c r="B21">
        <v>366</v>
      </c>
      <c r="C21">
        <v>17</v>
      </c>
      <c r="D21" t="s">
        <v>144</v>
      </c>
      <c r="G21">
        <f>B21/C21</f>
        <v>21.529411764705884</v>
      </c>
      <c r="H21">
        <f>21*16</f>
        <v>336</v>
      </c>
      <c r="J21" t="s">
        <v>164</v>
      </c>
    </row>
    <row r="22" spans="1:12" x14ac:dyDescent="0.25">
      <c r="A22" t="s">
        <v>145</v>
      </c>
      <c r="B22">
        <v>446</v>
      </c>
      <c r="C22">
        <v>22</v>
      </c>
      <c r="G22">
        <f>B22/C22</f>
        <v>20.272727272727273</v>
      </c>
      <c r="J22">
        <f>350/313</f>
        <v>1.1182108626198084</v>
      </c>
    </row>
    <row r="23" spans="1:12" x14ac:dyDescent="0.25">
      <c r="A23" t="s">
        <v>149</v>
      </c>
      <c r="B23">
        <v>350</v>
      </c>
      <c r="C23">
        <v>16</v>
      </c>
      <c r="D23" t="s">
        <v>146</v>
      </c>
      <c r="G23">
        <f>B23/C23</f>
        <v>21.875</v>
      </c>
    </row>
    <row r="24" spans="1:12" x14ac:dyDescent="0.25">
      <c r="A24" t="s">
        <v>148</v>
      </c>
      <c r="B24">
        <v>414</v>
      </c>
      <c r="C24">
        <v>20</v>
      </c>
      <c r="G24">
        <f>B24/C24</f>
        <v>20.7</v>
      </c>
    </row>
    <row r="25" spans="1:12" x14ac:dyDescent="0.25">
      <c r="A25" t="s">
        <v>150</v>
      </c>
      <c r="B25">
        <v>374</v>
      </c>
      <c r="C25">
        <v>16</v>
      </c>
      <c r="D25" t="s">
        <v>151</v>
      </c>
      <c r="F25">
        <f>(B25-B23)/2</f>
        <v>12</v>
      </c>
      <c r="G25">
        <f>(B25-(F25*2))/C25</f>
        <v>21.875</v>
      </c>
    </row>
    <row r="26" spans="1:12" x14ac:dyDescent="0.25">
      <c r="G26">
        <f>(G21+G22+G23+G24+G25)/5</f>
        <v>21.250427807486631</v>
      </c>
    </row>
    <row r="27" spans="1:12" x14ac:dyDescent="0.25">
      <c r="F27" t="s">
        <v>153</v>
      </c>
      <c r="G27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A33C-D1FD-45CC-8F0F-A3414E4139C8}">
  <dimension ref="A1:AC43"/>
  <sheetViews>
    <sheetView tabSelected="1" workbookViewId="0">
      <selection activeCell="T4" sqref="T4"/>
    </sheetView>
  </sheetViews>
  <sheetFormatPr baseColWidth="10" defaultRowHeight="15" x14ac:dyDescent="0.25"/>
  <cols>
    <col min="2" max="2" width="11.85546875" bestFit="1" customWidth="1"/>
    <col min="3" max="3" width="11.85546875" customWidth="1"/>
  </cols>
  <sheetData>
    <row r="1" spans="1:29" x14ac:dyDescent="0.25">
      <c r="A1" t="s">
        <v>34</v>
      </c>
      <c r="B1" t="s">
        <v>155</v>
      </c>
      <c r="C1" t="s">
        <v>36</v>
      </c>
      <c r="D1">
        <v>1</v>
      </c>
      <c r="E1">
        <v>2</v>
      </c>
      <c r="F1">
        <v>3</v>
      </c>
      <c r="G1">
        <v>4</v>
      </c>
      <c r="H1">
        <v>5</v>
      </c>
      <c r="I1">
        <v>5</v>
      </c>
      <c r="J1">
        <v>7</v>
      </c>
      <c r="K1">
        <v>7</v>
      </c>
      <c r="L1">
        <v>9</v>
      </c>
      <c r="M1">
        <v>9</v>
      </c>
      <c r="N1">
        <v>9</v>
      </c>
      <c r="O1">
        <v>9</v>
      </c>
      <c r="P1">
        <v>13</v>
      </c>
      <c r="Q1">
        <v>13</v>
      </c>
      <c r="R1">
        <v>13</v>
      </c>
      <c r="S1">
        <v>13</v>
      </c>
      <c r="T1">
        <v>17</v>
      </c>
      <c r="U1">
        <v>17</v>
      </c>
      <c r="V1">
        <v>17</v>
      </c>
      <c r="W1">
        <v>17</v>
      </c>
      <c r="X1">
        <v>17</v>
      </c>
      <c r="Y1">
        <v>17</v>
      </c>
      <c r="Z1">
        <v>17</v>
      </c>
      <c r="AA1">
        <v>17</v>
      </c>
      <c r="AB1">
        <v>25</v>
      </c>
      <c r="AC1">
        <v>25</v>
      </c>
    </row>
    <row r="2" spans="1:29" x14ac:dyDescent="0.25">
      <c r="A2" t="str">
        <f>TorneosScore!A2</f>
        <v>CoD4</v>
      </c>
      <c r="B2">
        <f>TorneosScore!B2</f>
        <v>422</v>
      </c>
      <c r="C2">
        <f>TorneosScore!C2</f>
        <v>16</v>
      </c>
      <c r="D2" s="3" t="s">
        <v>71</v>
      </c>
      <c r="E2" s="3" t="s">
        <v>58</v>
      </c>
      <c r="F2" t="s">
        <v>70</v>
      </c>
      <c r="G2" s="3" t="s">
        <v>72</v>
      </c>
      <c r="H2" s="1" t="s">
        <v>4</v>
      </c>
      <c r="I2" s="1" t="s">
        <v>59</v>
      </c>
      <c r="J2" s="2" t="s">
        <v>73</v>
      </c>
      <c r="K2" t="s">
        <v>60</v>
      </c>
      <c r="L2" t="s">
        <v>61</v>
      </c>
      <c r="M2" s="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</row>
    <row r="3" spans="1:29" x14ac:dyDescent="0.25">
      <c r="A3" t="str">
        <f>TorneosScore!A3</f>
        <v>Corona</v>
      </c>
      <c r="B3">
        <f>TorneosScore!B3</f>
        <v>398</v>
      </c>
      <c r="C3">
        <f>TorneosScore!C3</f>
        <v>19</v>
      </c>
      <c r="D3" s="4" t="s">
        <v>69</v>
      </c>
      <c r="E3" t="s">
        <v>70</v>
      </c>
      <c r="F3" t="s">
        <v>60</v>
      </c>
      <c r="G3" t="s">
        <v>4</v>
      </c>
      <c r="H3" t="s">
        <v>74</v>
      </c>
      <c r="I3" t="s">
        <v>59</v>
      </c>
      <c r="J3" t="s">
        <v>65</v>
      </c>
      <c r="K3" t="s">
        <v>61</v>
      </c>
      <c r="L3" t="s">
        <v>75</v>
      </c>
      <c r="M3" t="s">
        <v>67</v>
      </c>
      <c r="N3" t="s">
        <v>63</v>
      </c>
      <c r="O3" t="s">
        <v>68</v>
      </c>
      <c r="P3" t="s">
        <v>76</v>
      </c>
      <c r="Q3" t="s">
        <v>77</v>
      </c>
      <c r="R3" t="s">
        <v>78</v>
      </c>
      <c r="S3" t="s">
        <v>79</v>
      </c>
      <c r="T3" t="s">
        <v>80</v>
      </c>
      <c r="U3" t="s">
        <v>81</v>
      </c>
      <c r="V3" t="s">
        <v>82</v>
      </c>
    </row>
    <row r="4" spans="1:29" x14ac:dyDescent="0.25">
      <c r="A4" t="str">
        <f>TorneosScore!A4</f>
        <v>CoD3</v>
      </c>
      <c r="B4">
        <f>TorneosScore!B4</f>
        <v>596</v>
      </c>
      <c r="C4">
        <f>TorneosScore!C4</f>
        <v>25</v>
      </c>
      <c r="D4" s="2" t="s">
        <v>83</v>
      </c>
      <c r="E4" s="2" t="s">
        <v>71</v>
      </c>
      <c r="F4" s="2" t="s">
        <v>72</v>
      </c>
      <c r="G4" s="2" t="s">
        <v>58</v>
      </c>
      <c r="H4" s="2" t="s">
        <v>84</v>
      </c>
      <c r="I4" s="2" t="s">
        <v>85</v>
      </c>
      <c r="J4" s="2" t="s">
        <v>86</v>
      </c>
      <c r="K4" t="s">
        <v>59</v>
      </c>
      <c r="L4" t="s">
        <v>60</v>
      </c>
      <c r="M4" t="s">
        <v>4</v>
      </c>
      <c r="N4" t="s">
        <v>74</v>
      </c>
      <c r="O4" s="2" t="s">
        <v>87</v>
      </c>
      <c r="P4" t="s">
        <v>61</v>
      </c>
      <c r="Q4" s="2" t="s">
        <v>62</v>
      </c>
      <c r="R4" t="s">
        <v>75</v>
      </c>
      <c r="S4" s="2" t="s">
        <v>88</v>
      </c>
      <c r="T4" s="16" t="s">
        <v>89</v>
      </c>
      <c r="U4" t="s">
        <v>65</v>
      </c>
      <c r="V4" t="s">
        <v>77</v>
      </c>
      <c r="W4" t="s">
        <v>67</v>
      </c>
      <c r="X4" t="s">
        <v>90</v>
      </c>
      <c r="Y4" t="s">
        <v>68</v>
      </c>
      <c r="Z4" t="s">
        <v>64</v>
      </c>
      <c r="AB4" t="s">
        <v>91</v>
      </c>
      <c r="AC4" t="s">
        <v>66</v>
      </c>
    </row>
    <row r="5" spans="1:29" x14ac:dyDescent="0.25">
      <c r="A5" t="str">
        <f>TorneosScore!A5</f>
        <v>Estrella</v>
      </c>
      <c r="B5">
        <f>TorneosScore!B5</f>
        <v>410</v>
      </c>
      <c r="C5">
        <f>TorneosScore!C5</f>
        <v>19</v>
      </c>
      <c r="D5" t="s">
        <v>70</v>
      </c>
      <c r="E5" s="2" t="s">
        <v>58</v>
      </c>
      <c r="F5" t="s">
        <v>4</v>
      </c>
      <c r="G5" t="s">
        <v>60</v>
      </c>
      <c r="H5" t="s">
        <v>74</v>
      </c>
      <c r="I5" s="2" t="s">
        <v>92</v>
      </c>
      <c r="J5" s="2" t="s">
        <v>93</v>
      </c>
      <c r="K5" t="s">
        <v>67</v>
      </c>
      <c r="L5" t="s">
        <v>94</v>
      </c>
      <c r="M5" t="s">
        <v>65</v>
      </c>
      <c r="N5" s="2" t="s">
        <v>95</v>
      </c>
      <c r="O5" t="s">
        <v>64</v>
      </c>
      <c r="P5" t="s">
        <v>77</v>
      </c>
      <c r="Q5" t="s">
        <v>96</v>
      </c>
      <c r="R5" t="s">
        <v>97</v>
      </c>
      <c r="S5" t="s">
        <v>90</v>
      </c>
      <c r="T5" t="s">
        <v>98</v>
      </c>
      <c r="U5" t="s">
        <v>99</v>
      </c>
      <c r="V5" t="s">
        <v>68</v>
      </c>
    </row>
    <row r="6" spans="1:29" x14ac:dyDescent="0.25">
      <c r="A6" t="str">
        <f>TorneosScore!A6</f>
        <v>CoD2</v>
      </c>
      <c r="B6">
        <f>TorneosScore!J6</f>
        <v>422</v>
      </c>
      <c r="C6">
        <f>TorneosScore!C6</f>
        <v>15</v>
      </c>
      <c r="D6" s="2" t="s">
        <v>71</v>
      </c>
      <c r="E6" s="2" t="s">
        <v>58</v>
      </c>
      <c r="F6" s="2" t="s">
        <v>100</v>
      </c>
      <c r="G6" t="s">
        <v>70</v>
      </c>
      <c r="H6" t="s">
        <v>60</v>
      </c>
      <c r="I6" s="2" t="s">
        <v>101</v>
      </c>
      <c r="J6" t="s">
        <v>4</v>
      </c>
      <c r="K6" t="s">
        <v>74</v>
      </c>
      <c r="L6" t="s">
        <v>65</v>
      </c>
      <c r="M6" s="2" t="s">
        <v>62</v>
      </c>
      <c r="N6" t="s">
        <v>102</v>
      </c>
      <c r="O6" t="s">
        <v>103</v>
      </c>
      <c r="P6" t="s">
        <v>77</v>
      </c>
    </row>
    <row r="7" spans="1:29" x14ac:dyDescent="0.25">
      <c r="A7" t="str">
        <f>TorneosScore!A7</f>
        <v>Flor</v>
      </c>
      <c r="B7">
        <f>TorneosScore!B7</f>
        <v>366</v>
      </c>
      <c r="C7">
        <f>TorneosScore!C7</f>
        <v>17</v>
      </c>
      <c r="D7" s="4" t="s">
        <v>69</v>
      </c>
      <c r="E7" s="2" t="s">
        <v>87</v>
      </c>
      <c r="F7" s="2" t="s">
        <v>104</v>
      </c>
      <c r="G7" t="s">
        <v>70</v>
      </c>
      <c r="H7" s="2" t="s">
        <v>92</v>
      </c>
      <c r="I7" s="2" t="s">
        <v>101</v>
      </c>
      <c r="J7" s="2" t="s">
        <v>105</v>
      </c>
      <c r="K7" s="2" t="s">
        <v>106</v>
      </c>
      <c r="L7" t="s">
        <v>4</v>
      </c>
      <c r="M7" t="s">
        <v>74</v>
      </c>
      <c r="N7" t="s">
        <v>96</v>
      </c>
      <c r="O7" t="s">
        <v>67</v>
      </c>
      <c r="P7" t="s">
        <v>76</v>
      </c>
      <c r="Q7" t="s">
        <v>61</v>
      </c>
      <c r="R7" t="s">
        <v>68</v>
      </c>
      <c r="S7" t="s">
        <v>64</v>
      </c>
      <c r="T7" t="s">
        <v>91</v>
      </c>
    </row>
    <row r="8" spans="1:29" x14ac:dyDescent="0.25">
      <c r="A8" t="str">
        <f>TorneosScore!A8</f>
        <v>CoD1</v>
      </c>
      <c r="B8">
        <f>TorneosScore!J8</f>
        <v>231</v>
      </c>
      <c r="C8">
        <f>TorneosScore!C8</f>
        <v>11</v>
      </c>
      <c r="D8" t="s">
        <v>59</v>
      </c>
      <c r="E8" t="s">
        <v>4</v>
      </c>
      <c r="F8" t="s">
        <v>107</v>
      </c>
      <c r="G8" t="s">
        <v>60</v>
      </c>
      <c r="H8" t="s">
        <v>61</v>
      </c>
      <c r="I8" t="s">
        <v>108</v>
      </c>
      <c r="J8" t="s">
        <v>109</v>
      </c>
      <c r="K8" t="s">
        <v>67</v>
      </c>
      <c r="L8" t="s">
        <v>110</v>
      </c>
      <c r="M8" t="s">
        <v>68</v>
      </c>
      <c r="N8" t="s">
        <v>64</v>
      </c>
    </row>
    <row r="9" spans="1:29" x14ac:dyDescent="0.25">
      <c r="A9" t="str">
        <f>TorneosScore!A9</f>
        <v>Champiñón</v>
      </c>
      <c r="B9">
        <f>TorneosScore!B9</f>
        <v>396</v>
      </c>
      <c r="C9">
        <f>TorneosScore!C9</f>
        <v>17</v>
      </c>
      <c r="D9" s="2" t="s">
        <v>111</v>
      </c>
      <c r="E9" s="2" t="s">
        <v>100</v>
      </c>
      <c r="F9" t="s">
        <v>70</v>
      </c>
      <c r="G9" t="s">
        <v>4</v>
      </c>
      <c r="H9" t="s">
        <v>112</v>
      </c>
      <c r="I9" t="s">
        <v>61</v>
      </c>
      <c r="J9" t="s">
        <v>67</v>
      </c>
      <c r="K9" s="2" t="s">
        <v>113</v>
      </c>
      <c r="L9" t="s">
        <v>114</v>
      </c>
      <c r="M9" t="s">
        <v>77</v>
      </c>
      <c r="N9" t="s">
        <v>75</v>
      </c>
      <c r="O9" t="s">
        <v>68</v>
      </c>
      <c r="P9" t="s">
        <v>115</v>
      </c>
      <c r="Q9" t="s">
        <v>116</v>
      </c>
      <c r="R9" t="s">
        <v>117</v>
      </c>
      <c r="S9" t="s">
        <v>97</v>
      </c>
      <c r="T9" t="s">
        <v>118</v>
      </c>
    </row>
    <row r="10" spans="1:29" x14ac:dyDescent="0.25">
      <c r="A10" t="str">
        <f>TorneosScore!A10</f>
        <v>TBO17</v>
      </c>
      <c r="B10">
        <f>TorneosScore!J10</f>
        <v>252</v>
      </c>
      <c r="C10">
        <f>TorneosScore!C10</f>
        <v>12</v>
      </c>
      <c r="D10" s="4" t="s">
        <v>69</v>
      </c>
      <c r="E10" t="s">
        <v>59</v>
      </c>
      <c r="F10" t="s">
        <v>70</v>
      </c>
      <c r="G10" t="s">
        <v>60</v>
      </c>
      <c r="H10" t="s">
        <v>4</v>
      </c>
      <c r="I10" t="s">
        <v>119</v>
      </c>
      <c r="J10" t="s">
        <v>120</v>
      </c>
      <c r="K10" t="s">
        <v>61</v>
      </c>
      <c r="L10" t="s">
        <v>77</v>
      </c>
      <c r="M10" t="s">
        <v>75</v>
      </c>
      <c r="N10" t="s">
        <v>64</v>
      </c>
    </row>
    <row r="11" spans="1:29" x14ac:dyDescent="0.25">
      <c r="A11" t="str">
        <f>TorneosScore!A11</f>
        <v>TBO16</v>
      </c>
      <c r="B11">
        <f>TorneosScore!L11</f>
        <v>389</v>
      </c>
      <c r="C11">
        <f>TorneosScore!C11</f>
        <v>18</v>
      </c>
      <c r="D11" s="2" t="s">
        <v>104</v>
      </c>
      <c r="E11" t="s">
        <v>70</v>
      </c>
      <c r="F11" s="2" t="s">
        <v>92</v>
      </c>
      <c r="G11" s="2" t="s">
        <v>87</v>
      </c>
      <c r="H11" t="s">
        <v>4</v>
      </c>
      <c r="I11" s="2" t="s">
        <v>106</v>
      </c>
      <c r="J11" t="s">
        <v>61</v>
      </c>
      <c r="K11" t="s">
        <v>59</v>
      </c>
      <c r="L11" t="s">
        <v>60</v>
      </c>
      <c r="M11" t="s">
        <v>112</v>
      </c>
      <c r="N11" s="2" t="s">
        <v>105</v>
      </c>
      <c r="O11" t="s">
        <v>107</v>
      </c>
      <c r="P11" t="s">
        <v>121</v>
      </c>
      <c r="Q11" t="s">
        <v>122</v>
      </c>
      <c r="R11" t="s">
        <v>67</v>
      </c>
      <c r="S11" t="s">
        <v>123</v>
      </c>
      <c r="T11" t="s">
        <v>77</v>
      </c>
      <c r="U11" t="s">
        <v>64</v>
      </c>
    </row>
    <row r="12" spans="1:29" x14ac:dyDescent="0.25">
      <c r="A12" t="str">
        <f>TorneosScore!A12</f>
        <v>TBO15</v>
      </c>
      <c r="B12">
        <f>TorneosScore!L12</f>
        <v>460</v>
      </c>
      <c r="C12">
        <f>TorneosScore!C12</f>
        <v>20</v>
      </c>
      <c r="D12" s="2" t="s">
        <v>71</v>
      </c>
      <c r="E12" s="2" t="s">
        <v>84</v>
      </c>
      <c r="F12" s="4" t="s">
        <v>69</v>
      </c>
      <c r="G12" s="2" t="s">
        <v>86</v>
      </c>
      <c r="H12" s="2" t="s">
        <v>87</v>
      </c>
      <c r="I12" t="s">
        <v>70</v>
      </c>
      <c r="J12" t="s">
        <v>4</v>
      </c>
      <c r="K12" t="s">
        <v>61</v>
      </c>
      <c r="L12" t="s">
        <v>60</v>
      </c>
      <c r="M12" s="2" t="s">
        <v>124</v>
      </c>
      <c r="N12" s="2" t="s">
        <v>92</v>
      </c>
      <c r="O12" t="s">
        <v>59</v>
      </c>
      <c r="P12" t="s">
        <v>125</v>
      </c>
      <c r="Q12" t="s">
        <v>112</v>
      </c>
      <c r="R12" t="s">
        <v>67</v>
      </c>
      <c r="S12" t="s">
        <v>63</v>
      </c>
      <c r="T12" t="s">
        <v>77</v>
      </c>
      <c r="U12" s="2" t="s">
        <v>126</v>
      </c>
      <c r="V12" t="s">
        <v>127</v>
      </c>
      <c r="W12" t="s">
        <v>64</v>
      </c>
    </row>
    <row r="13" spans="1:29" x14ac:dyDescent="0.25">
      <c r="A13" t="str">
        <f>TorneosScore!A13</f>
        <v>CR4</v>
      </c>
      <c r="B13">
        <f>TorneosScore!J13</f>
        <v>84</v>
      </c>
      <c r="C13">
        <f>TorneosScore!C13</f>
        <v>4</v>
      </c>
      <c r="D13" t="s">
        <v>70</v>
      </c>
      <c r="E13" t="s">
        <v>4</v>
      </c>
      <c r="F13" t="s">
        <v>60</v>
      </c>
      <c r="G13" t="s">
        <v>77</v>
      </c>
    </row>
    <row r="14" spans="1:29" x14ac:dyDescent="0.25">
      <c r="A14" t="str">
        <f>TorneosScore!A14</f>
        <v>CR3</v>
      </c>
      <c r="B14">
        <f>TorneosScore!J14</f>
        <v>105</v>
      </c>
      <c r="C14">
        <f>TorneosScore!C14</f>
        <v>5</v>
      </c>
      <c r="D14" t="s">
        <v>4</v>
      </c>
      <c r="E14" t="s">
        <v>61</v>
      </c>
      <c r="F14" t="s">
        <v>67</v>
      </c>
      <c r="G14" t="s">
        <v>128</v>
      </c>
      <c r="H14" t="s">
        <v>77</v>
      </c>
    </row>
    <row r="15" spans="1:29" x14ac:dyDescent="0.25">
      <c r="A15" t="str">
        <f>TorneosScore!A15</f>
        <v>TBO14</v>
      </c>
      <c r="B15">
        <f>TorneosScore!L15</f>
        <v>350</v>
      </c>
      <c r="C15">
        <f>TorneosScore!C15</f>
        <v>16</v>
      </c>
      <c r="D15" s="5" t="s">
        <v>129</v>
      </c>
      <c r="E15" t="s">
        <v>70</v>
      </c>
      <c r="F15" t="s">
        <v>4</v>
      </c>
      <c r="G15" t="s">
        <v>61</v>
      </c>
      <c r="H15" t="s">
        <v>112</v>
      </c>
      <c r="I15" t="s">
        <v>130</v>
      </c>
      <c r="J15" t="s">
        <v>120</v>
      </c>
      <c r="K15" t="s">
        <v>60</v>
      </c>
      <c r="L15" t="s">
        <v>131</v>
      </c>
      <c r="M15" t="s">
        <v>132</v>
      </c>
      <c r="N15" t="s">
        <v>67</v>
      </c>
      <c r="O15" t="s">
        <v>63</v>
      </c>
      <c r="P15" t="s">
        <v>76</v>
      </c>
      <c r="Q15" t="s">
        <v>77</v>
      </c>
      <c r="R15" t="s">
        <v>109</v>
      </c>
      <c r="S15" t="s">
        <v>64</v>
      </c>
    </row>
    <row r="16" spans="1:29" x14ac:dyDescent="0.25">
      <c r="A16" t="str">
        <f>TorneosScore!A16</f>
        <v>CR2</v>
      </c>
      <c r="B16">
        <f>TorneosScore!J16</f>
        <v>147</v>
      </c>
      <c r="C16">
        <f>TorneosScore!C16</f>
        <v>7</v>
      </c>
      <c r="D16" s="5" t="s">
        <v>129</v>
      </c>
      <c r="E16" t="s">
        <v>70</v>
      </c>
      <c r="F16" t="s">
        <v>4</v>
      </c>
      <c r="G16" t="s">
        <v>60</v>
      </c>
      <c r="H16" t="s">
        <v>77</v>
      </c>
      <c r="I16" t="s">
        <v>130</v>
      </c>
      <c r="J16" t="s">
        <v>133</v>
      </c>
    </row>
    <row r="17" spans="1:21" x14ac:dyDescent="0.25">
      <c r="A17" t="str">
        <f>TorneosScore!A17</f>
        <v>CR1</v>
      </c>
      <c r="B17">
        <f>TorneosScore!J17</f>
        <v>105</v>
      </c>
      <c r="C17">
        <f>TorneosScore!C17</f>
        <v>5</v>
      </c>
      <c r="D17" s="5" t="s">
        <v>129</v>
      </c>
      <c r="E17" t="s">
        <v>107</v>
      </c>
      <c r="F17" t="s">
        <v>60</v>
      </c>
      <c r="G17" t="s">
        <v>4</v>
      </c>
      <c r="H17" t="s">
        <v>77</v>
      </c>
    </row>
    <row r="18" spans="1:21" x14ac:dyDescent="0.25">
      <c r="A18" t="str">
        <f>TorneosScore!A18</f>
        <v>TBO13</v>
      </c>
      <c r="B18">
        <f>TorneosScore!L18</f>
        <v>423</v>
      </c>
      <c r="C18">
        <f>TorneosScore!C18</f>
        <v>18</v>
      </c>
      <c r="D18" s="2" t="s">
        <v>134</v>
      </c>
      <c r="E18" t="s">
        <v>4</v>
      </c>
      <c r="F18" s="6" t="s">
        <v>129</v>
      </c>
      <c r="G18" t="s">
        <v>61</v>
      </c>
      <c r="H18" t="s">
        <v>70</v>
      </c>
      <c r="I18" s="2" t="s">
        <v>92</v>
      </c>
      <c r="J18" t="s">
        <v>112</v>
      </c>
      <c r="K18" t="s">
        <v>135</v>
      </c>
      <c r="L18" t="s">
        <v>60</v>
      </c>
      <c r="M18" t="s">
        <v>74</v>
      </c>
      <c r="N18" t="s">
        <v>67</v>
      </c>
      <c r="O18" s="2" t="s">
        <v>106</v>
      </c>
      <c r="P18" t="s">
        <v>120</v>
      </c>
      <c r="Q18" t="s">
        <v>131</v>
      </c>
      <c r="R18" t="s">
        <v>97</v>
      </c>
      <c r="S18" t="s">
        <v>119</v>
      </c>
      <c r="T18" t="s">
        <v>77</v>
      </c>
      <c r="U18" t="s">
        <v>107</v>
      </c>
    </row>
    <row r="19" spans="1:21" x14ac:dyDescent="0.25">
      <c r="A19" t="str">
        <f>TorneosScore!A19</f>
        <v>TBO12</v>
      </c>
      <c r="B19">
        <f>TorneosScore!J19</f>
        <v>147</v>
      </c>
      <c r="C19">
        <f>TorneosScore!C19</f>
        <v>7</v>
      </c>
      <c r="D19" s="4" t="s">
        <v>69</v>
      </c>
      <c r="E19" s="5" t="s">
        <v>129</v>
      </c>
      <c r="F19" t="s">
        <v>61</v>
      </c>
      <c r="G19" t="s">
        <v>74</v>
      </c>
      <c r="H19" t="s">
        <v>120</v>
      </c>
      <c r="I19" t="s">
        <v>60</v>
      </c>
      <c r="J19" t="s">
        <v>67</v>
      </c>
    </row>
    <row r="21" spans="1:21" x14ac:dyDescent="0.25">
      <c r="A21">
        <f>D21+E21+F21</f>
        <v>100.00000000000001</v>
      </c>
      <c r="B21" t="s">
        <v>137</v>
      </c>
      <c r="C21">
        <f>100/3</f>
        <v>33.333333333333336</v>
      </c>
      <c r="D21">
        <f>C21*1.5</f>
        <v>50</v>
      </c>
      <c r="E21">
        <f>C21*1</f>
        <v>33.333333333333336</v>
      </c>
      <c r="F21">
        <f>C21*0.5</f>
        <v>16.666666666666668</v>
      </c>
    </row>
    <row r="22" spans="1:21" x14ac:dyDescent="0.25">
      <c r="A22">
        <f>D22+E22+F22+G22+H22+J22</f>
        <v>100</v>
      </c>
      <c r="B22" t="s">
        <v>138</v>
      </c>
      <c r="C22">
        <f>100/8</f>
        <v>12.5</v>
      </c>
      <c r="D22">
        <f>C22*2</f>
        <v>25</v>
      </c>
      <c r="E22">
        <f>C22*1.75</f>
        <v>21.875</v>
      </c>
      <c r="F22">
        <f>C22*1.5</f>
        <v>18.75</v>
      </c>
      <c r="G22">
        <f>C22*1.25</f>
        <v>15.625</v>
      </c>
      <c r="H22">
        <f>C22*1</f>
        <v>12.5</v>
      </c>
      <c r="I22">
        <f>H22</f>
        <v>12.5</v>
      </c>
      <c r="J22">
        <f>C22*0.5</f>
        <v>6.25</v>
      </c>
      <c r="K22">
        <f>J22</f>
        <v>6.25</v>
      </c>
    </row>
    <row r="23" spans="1:21" x14ac:dyDescent="0.25">
      <c r="A23">
        <f>D23+E23+F23+G23+H23+J23+L23</f>
        <v>100</v>
      </c>
      <c r="B23" t="s">
        <v>142</v>
      </c>
      <c r="C23">
        <f>100/12</f>
        <v>8.3333333333333339</v>
      </c>
      <c r="D23">
        <f>C23*3</f>
        <v>25</v>
      </c>
      <c r="E23">
        <f>C23*2.5</f>
        <v>20.833333333333336</v>
      </c>
      <c r="F23">
        <f>C23*2</f>
        <v>16.666666666666668</v>
      </c>
      <c r="G23">
        <f>C23*1.5</f>
        <v>12.5</v>
      </c>
      <c r="H23">
        <f>C23*1.25</f>
        <v>10.416666666666668</v>
      </c>
      <c r="I23">
        <f>H23</f>
        <v>10.416666666666668</v>
      </c>
      <c r="J23">
        <f>C23*1</f>
        <v>8.3333333333333339</v>
      </c>
      <c r="K23">
        <f>J23</f>
        <v>8.3333333333333339</v>
      </c>
      <c r="L23">
        <f>C23*0.75</f>
        <v>6.25</v>
      </c>
      <c r="M23">
        <f>L23</f>
        <v>6.25</v>
      </c>
      <c r="N23">
        <f>L23</f>
        <v>6.25</v>
      </c>
      <c r="O23">
        <f>L23</f>
        <v>6.25</v>
      </c>
    </row>
    <row r="25" spans="1:21" x14ac:dyDescent="0.25">
      <c r="A25" t="str">
        <f t="shared" ref="A25:A43" si="0">A1</f>
        <v>Torneo</v>
      </c>
      <c r="B25" t="str">
        <f t="shared" ref="B25:B43" si="1">C1</f>
        <v>Entrants</v>
      </c>
      <c r="C25" s="8" t="s">
        <v>139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7</v>
      </c>
      <c r="K25">
        <v>7</v>
      </c>
      <c r="L25">
        <v>9</v>
      </c>
      <c r="M25">
        <v>9</v>
      </c>
      <c r="N25">
        <v>9</v>
      </c>
      <c r="O25">
        <v>9</v>
      </c>
      <c r="P25" t="s">
        <v>140</v>
      </c>
      <c r="Q25" t="s">
        <v>141</v>
      </c>
    </row>
    <row r="26" spans="1:21" x14ac:dyDescent="0.25">
      <c r="A26" t="str">
        <f t="shared" si="0"/>
        <v>CoD4</v>
      </c>
      <c r="B26">
        <f t="shared" si="1"/>
        <v>16</v>
      </c>
      <c r="C26" s="8">
        <f t="shared" ref="C26:C31" si="2">B2/12</f>
        <v>35.166666666666664</v>
      </c>
      <c r="D26">
        <f t="shared" ref="D26:D31" si="3">C26*3</f>
        <v>105.5</v>
      </c>
      <c r="E26">
        <f t="shared" ref="E26:E31" si="4">C26*2.5</f>
        <v>87.916666666666657</v>
      </c>
      <c r="F26">
        <f t="shared" ref="F26:F31" si="5">C26*2</f>
        <v>70.333333333333329</v>
      </c>
      <c r="G26">
        <f t="shared" ref="G26:G31" si="6">C26*1.5</f>
        <v>52.75</v>
      </c>
      <c r="H26">
        <f t="shared" ref="H26:H31" si="7">C26*1.25</f>
        <v>43.958333333333329</v>
      </c>
      <c r="I26">
        <f t="shared" ref="I26:I36" si="8">H26</f>
        <v>43.958333333333329</v>
      </c>
      <c r="J26">
        <f t="shared" ref="J26:J31" si="9">C26*1</f>
        <v>35.166666666666664</v>
      </c>
      <c r="K26">
        <f t="shared" ref="K26:K36" si="10">J26</f>
        <v>35.166666666666664</v>
      </c>
      <c r="L26">
        <f t="shared" ref="L26:L31" si="11">C26*0.75</f>
        <v>26.375</v>
      </c>
      <c r="M26">
        <f t="shared" ref="M26:M31" si="12">L26</f>
        <v>26.375</v>
      </c>
      <c r="N26">
        <f t="shared" ref="N26:N31" si="13">L26</f>
        <v>26.375</v>
      </c>
      <c r="O26">
        <f t="shared" ref="O26:O31" si="14">L26</f>
        <v>26.375</v>
      </c>
      <c r="P26">
        <f>B2</f>
        <v>422</v>
      </c>
      <c r="Q26">
        <f>D26+E26+F26+G26+H26+J26+L26</f>
        <v>422</v>
      </c>
    </row>
    <row r="27" spans="1:21" x14ac:dyDescent="0.25">
      <c r="A27" t="str">
        <f t="shared" si="0"/>
        <v>Corona</v>
      </c>
      <c r="B27">
        <f t="shared" si="1"/>
        <v>19</v>
      </c>
      <c r="C27" s="8">
        <f t="shared" si="2"/>
        <v>33.166666666666664</v>
      </c>
      <c r="D27">
        <f t="shared" si="3"/>
        <v>99.5</v>
      </c>
      <c r="E27">
        <f t="shared" si="4"/>
        <v>82.916666666666657</v>
      </c>
      <c r="F27">
        <f t="shared" si="5"/>
        <v>66.333333333333329</v>
      </c>
      <c r="G27">
        <f t="shared" si="6"/>
        <v>49.75</v>
      </c>
      <c r="H27">
        <f t="shared" si="7"/>
        <v>41.458333333333329</v>
      </c>
      <c r="I27">
        <f t="shared" si="8"/>
        <v>41.458333333333329</v>
      </c>
      <c r="J27">
        <f t="shared" si="9"/>
        <v>33.166666666666664</v>
      </c>
      <c r="K27">
        <f t="shared" si="10"/>
        <v>33.166666666666664</v>
      </c>
      <c r="L27">
        <f t="shared" si="11"/>
        <v>24.875</v>
      </c>
      <c r="M27">
        <f t="shared" si="12"/>
        <v>24.875</v>
      </c>
      <c r="N27">
        <f t="shared" si="13"/>
        <v>24.875</v>
      </c>
      <c r="O27">
        <f t="shared" si="14"/>
        <v>24.875</v>
      </c>
      <c r="P27">
        <f t="shared" ref="P27:P43" si="15">B3</f>
        <v>398</v>
      </c>
      <c r="Q27">
        <f t="shared" ref="Q27:Q43" si="16">D27+E27+F27+G27+H27+J27+L27</f>
        <v>398</v>
      </c>
    </row>
    <row r="28" spans="1:21" x14ac:dyDescent="0.25">
      <c r="A28" t="str">
        <f t="shared" si="0"/>
        <v>CoD3</v>
      </c>
      <c r="B28">
        <f t="shared" si="1"/>
        <v>25</v>
      </c>
      <c r="C28" s="8">
        <f t="shared" si="2"/>
        <v>49.666666666666664</v>
      </c>
      <c r="D28">
        <f t="shared" si="3"/>
        <v>149</v>
      </c>
      <c r="E28">
        <f t="shared" si="4"/>
        <v>124.16666666666666</v>
      </c>
      <c r="F28">
        <f t="shared" si="5"/>
        <v>99.333333333333329</v>
      </c>
      <c r="G28">
        <f t="shared" si="6"/>
        <v>74.5</v>
      </c>
      <c r="H28">
        <f t="shared" si="7"/>
        <v>62.083333333333329</v>
      </c>
      <c r="I28">
        <f t="shared" si="8"/>
        <v>62.083333333333329</v>
      </c>
      <c r="J28">
        <f t="shared" si="9"/>
        <v>49.666666666666664</v>
      </c>
      <c r="K28">
        <f t="shared" si="10"/>
        <v>49.666666666666664</v>
      </c>
      <c r="L28">
        <f t="shared" si="11"/>
        <v>37.25</v>
      </c>
      <c r="M28">
        <f t="shared" si="12"/>
        <v>37.25</v>
      </c>
      <c r="N28">
        <f t="shared" si="13"/>
        <v>37.25</v>
      </c>
      <c r="O28">
        <f t="shared" si="14"/>
        <v>37.25</v>
      </c>
      <c r="P28">
        <f t="shared" si="15"/>
        <v>596</v>
      </c>
      <c r="Q28">
        <f t="shared" si="16"/>
        <v>595.99999999999989</v>
      </c>
    </row>
    <row r="29" spans="1:21" x14ac:dyDescent="0.25">
      <c r="A29" t="str">
        <f t="shared" si="0"/>
        <v>Estrella</v>
      </c>
      <c r="B29">
        <f t="shared" si="1"/>
        <v>19</v>
      </c>
      <c r="C29" s="8">
        <f t="shared" si="2"/>
        <v>34.166666666666664</v>
      </c>
      <c r="D29">
        <f t="shared" si="3"/>
        <v>102.5</v>
      </c>
      <c r="E29">
        <f t="shared" si="4"/>
        <v>85.416666666666657</v>
      </c>
      <c r="F29">
        <f t="shared" si="5"/>
        <v>68.333333333333329</v>
      </c>
      <c r="G29">
        <f t="shared" si="6"/>
        <v>51.25</v>
      </c>
      <c r="H29">
        <f t="shared" si="7"/>
        <v>42.708333333333329</v>
      </c>
      <c r="I29">
        <f t="shared" si="8"/>
        <v>42.708333333333329</v>
      </c>
      <c r="J29">
        <f t="shared" si="9"/>
        <v>34.166666666666664</v>
      </c>
      <c r="K29">
        <f t="shared" si="10"/>
        <v>34.166666666666664</v>
      </c>
      <c r="L29">
        <f t="shared" si="11"/>
        <v>25.625</v>
      </c>
      <c r="M29">
        <f t="shared" si="12"/>
        <v>25.625</v>
      </c>
      <c r="N29">
        <f t="shared" si="13"/>
        <v>25.625</v>
      </c>
      <c r="O29">
        <f t="shared" si="14"/>
        <v>25.625</v>
      </c>
      <c r="P29">
        <f t="shared" si="15"/>
        <v>410</v>
      </c>
      <c r="Q29">
        <f t="shared" si="16"/>
        <v>410</v>
      </c>
    </row>
    <row r="30" spans="1:21" x14ac:dyDescent="0.25">
      <c r="A30" t="str">
        <f t="shared" si="0"/>
        <v>CoD2</v>
      </c>
      <c r="B30">
        <f t="shared" si="1"/>
        <v>15</v>
      </c>
      <c r="C30" s="8">
        <f t="shared" si="2"/>
        <v>35.166666666666664</v>
      </c>
      <c r="D30">
        <f t="shared" si="3"/>
        <v>105.5</v>
      </c>
      <c r="E30">
        <f t="shared" si="4"/>
        <v>87.916666666666657</v>
      </c>
      <c r="F30">
        <f t="shared" si="5"/>
        <v>70.333333333333329</v>
      </c>
      <c r="G30">
        <f t="shared" si="6"/>
        <v>52.75</v>
      </c>
      <c r="H30">
        <f t="shared" si="7"/>
        <v>43.958333333333329</v>
      </c>
      <c r="I30">
        <f t="shared" si="8"/>
        <v>43.958333333333329</v>
      </c>
      <c r="J30">
        <f t="shared" si="9"/>
        <v>35.166666666666664</v>
      </c>
      <c r="K30">
        <f t="shared" si="10"/>
        <v>35.166666666666664</v>
      </c>
      <c r="L30">
        <f t="shared" si="11"/>
        <v>26.375</v>
      </c>
      <c r="M30">
        <f t="shared" si="12"/>
        <v>26.375</v>
      </c>
      <c r="N30">
        <f t="shared" si="13"/>
        <v>26.375</v>
      </c>
      <c r="O30">
        <f t="shared" si="14"/>
        <v>26.375</v>
      </c>
      <c r="P30">
        <f t="shared" si="15"/>
        <v>422</v>
      </c>
      <c r="Q30">
        <f t="shared" si="16"/>
        <v>422</v>
      </c>
    </row>
    <row r="31" spans="1:21" x14ac:dyDescent="0.25">
      <c r="A31" t="str">
        <f t="shared" si="0"/>
        <v>Flor</v>
      </c>
      <c r="B31">
        <f t="shared" si="1"/>
        <v>17</v>
      </c>
      <c r="C31" s="8">
        <f t="shared" si="2"/>
        <v>30.5</v>
      </c>
      <c r="D31">
        <f t="shared" si="3"/>
        <v>91.5</v>
      </c>
      <c r="E31">
        <f t="shared" si="4"/>
        <v>76.25</v>
      </c>
      <c r="F31">
        <f t="shared" si="5"/>
        <v>61</v>
      </c>
      <c r="G31">
        <f t="shared" si="6"/>
        <v>45.75</v>
      </c>
      <c r="H31">
        <f t="shared" si="7"/>
        <v>38.125</v>
      </c>
      <c r="I31">
        <f t="shared" si="8"/>
        <v>38.125</v>
      </c>
      <c r="J31">
        <f t="shared" si="9"/>
        <v>30.5</v>
      </c>
      <c r="K31">
        <f t="shared" si="10"/>
        <v>30.5</v>
      </c>
      <c r="L31">
        <f t="shared" si="11"/>
        <v>22.875</v>
      </c>
      <c r="M31">
        <f t="shared" si="12"/>
        <v>22.875</v>
      </c>
      <c r="N31">
        <f t="shared" si="13"/>
        <v>22.875</v>
      </c>
      <c r="O31">
        <f t="shared" si="14"/>
        <v>22.875</v>
      </c>
      <c r="P31">
        <f t="shared" si="15"/>
        <v>366</v>
      </c>
      <c r="Q31">
        <f t="shared" si="16"/>
        <v>366</v>
      </c>
    </row>
    <row r="32" spans="1:21" x14ac:dyDescent="0.25">
      <c r="A32" t="str">
        <f t="shared" si="0"/>
        <v>CoD1</v>
      </c>
      <c r="B32">
        <f t="shared" si="1"/>
        <v>11</v>
      </c>
      <c r="C32" s="8">
        <f>B8/8</f>
        <v>28.875</v>
      </c>
      <c r="D32">
        <f>C32*2</f>
        <v>57.75</v>
      </c>
      <c r="E32">
        <f>C32*1.75</f>
        <v>50.53125</v>
      </c>
      <c r="F32">
        <f>C32*1.5</f>
        <v>43.3125</v>
      </c>
      <c r="G32">
        <f>C32*1.25</f>
        <v>36.09375</v>
      </c>
      <c r="H32">
        <f>C32*1</f>
        <v>28.875</v>
      </c>
      <c r="I32">
        <f t="shared" si="8"/>
        <v>28.875</v>
      </c>
      <c r="J32">
        <f>C32*0.5</f>
        <v>14.4375</v>
      </c>
      <c r="K32">
        <f t="shared" si="10"/>
        <v>14.4375</v>
      </c>
      <c r="P32">
        <f t="shared" si="15"/>
        <v>231</v>
      </c>
      <c r="Q32">
        <f t="shared" si="16"/>
        <v>231</v>
      </c>
    </row>
    <row r="33" spans="1:17" x14ac:dyDescent="0.25">
      <c r="A33" t="str">
        <f t="shared" si="0"/>
        <v>Champiñón</v>
      </c>
      <c r="B33">
        <f t="shared" si="1"/>
        <v>17</v>
      </c>
      <c r="C33" s="8">
        <f>B9/12</f>
        <v>33</v>
      </c>
      <c r="D33">
        <f>C33*3</f>
        <v>99</v>
      </c>
      <c r="E33">
        <f>C33*2.5</f>
        <v>82.5</v>
      </c>
      <c r="F33">
        <f>C33*2</f>
        <v>66</v>
      </c>
      <c r="G33">
        <f>C33*1.5</f>
        <v>49.5</v>
      </c>
      <c r="H33">
        <f>C33*1.25</f>
        <v>41.25</v>
      </c>
      <c r="I33">
        <f t="shared" si="8"/>
        <v>41.25</v>
      </c>
      <c r="J33">
        <f>C33*1</f>
        <v>33</v>
      </c>
      <c r="K33">
        <f t="shared" si="10"/>
        <v>33</v>
      </c>
      <c r="L33">
        <f>C33*0.75</f>
        <v>24.75</v>
      </c>
      <c r="M33">
        <f>L33</f>
        <v>24.75</v>
      </c>
      <c r="N33">
        <f>L33</f>
        <v>24.75</v>
      </c>
      <c r="O33">
        <f>L33</f>
        <v>24.75</v>
      </c>
      <c r="P33">
        <f t="shared" si="15"/>
        <v>396</v>
      </c>
      <c r="Q33">
        <f t="shared" si="16"/>
        <v>396</v>
      </c>
    </row>
    <row r="34" spans="1:17" x14ac:dyDescent="0.25">
      <c r="A34" t="str">
        <f t="shared" si="0"/>
        <v>TBO17</v>
      </c>
      <c r="B34">
        <f t="shared" si="1"/>
        <v>12</v>
      </c>
      <c r="C34" s="8">
        <f>B10/8</f>
        <v>31.5</v>
      </c>
      <c r="D34">
        <f>C34*2</f>
        <v>63</v>
      </c>
      <c r="E34">
        <f>C34*1.75</f>
        <v>55.125</v>
      </c>
      <c r="F34">
        <f>C34*1.5</f>
        <v>47.25</v>
      </c>
      <c r="G34">
        <f>C34*1.25</f>
        <v>39.375</v>
      </c>
      <c r="H34">
        <f>C34*1</f>
        <v>31.5</v>
      </c>
      <c r="I34">
        <f t="shared" si="8"/>
        <v>31.5</v>
      </c>
      <c r="J34">
        <f>C34*0.5</f>
        <v>15.75</v>
      </c>
      <c r="K34">
        <f t="shared" si="10"/>
        <v>15.75</v>
      </c>
      <c r="P34">
        <f t="shared" si="15"/>
        <v>252</v>
      </c>
      <c r="Q34">
        <f t="shared" si="16"/>
        <v>252</v>
      </c>
    </row>
    <row r="35" spans="1:17" x14ac:dyDescent="0.25">
      <c r="A35" t="str">
        <f t="shared" si="0"/>
        <v>TBO16</v>
      </c>
      <c r="B35">
        <f t="shared" si="1"/>
        <v>18</v>
      </c>
      <c r="C35" s="8">
        <f>B11/12</f>
        <v>32.416666666666664</v>
      </c>
      <c r="D35">
        <f>C35*3</f>
        <v>97.25</v>
      </c>
      <c r="E35">
        <f>C35*2.5</f>
        <v>81.041666666666657</v>
      </c>
      <c r="F35">
        <f>C35*2</f>
        <v>64.833333333333329</v>
      </c>
      <c r="G35">
        <f>C35*1.5</f>
        <v>48.625</v>
      </c>
      <c r="H35">
        <f>C35*1.25</f>
        <v>40.520833333333329</v>
      </c>
      <c r="I35">
        <f t="shared" si="8"/>
        <v>40.520833333333329</v>
      </c>
      <c r="J35">
        <f>C35*1</f>
        <v>32.416666666666664</v>
      </c>
      <c r="K35">
        <f t="shared" si="10"/>
        <v>32.416666666666664</v>
      </c>
      <c r="L35">
        <f>C35*0.75</f>
        <v>24.3125</v>
      </c>
      <c r="M35">
        <f>L35</f>
        <v>24.3125</v>
      </c>
      <c r="N35">
        <f>L35</f>
        <v>24.3125</v>
      </c>
      <c r="O35">
        <f>L35</f>
        <v>24.3125</v>
      </c>
      <c r="P35">
        <f>B11</f>
        <v>389</v>
      </c>
      <c r="Q35">
        <f t="shared" si="16"/>
        <v>389</v>
      </c>
    </row>
    <row r="36" spans="1:17" x14ac:dyDescent="0.25">
      <c r="A36" t="str">
        <f t="shared" si="0"/>
        <v>TBO15</v>
      </c>
      <c r="B36">
        <f t="shared" si="1"/>
        <v>20</v>
      </c>
      <c r="C36" s="8">
        <f>B12/12</f>
        <v>38.333333333333336</v>
      </c>
      <c r="D36">
        <f>C36*3</f>
        <v>115</v>
      </c>
      <c r="E36">
        <f>C36*2.5</f>
        <v>95.833333333333343</v>
      </c>
      <c r="F36">
        <f>C36*2</f>
        <v>76.666666666666671</v>
      </c>
      <c r="G36">
        <f>C36*1.5</f>
        <v>57.5</v>
      </c>
      <c r="H36">
        <f>C36*1.25</f>
        <v>47.916666666666671</v>
      </c>
      <c r="I36">
        <f t="shared" si="8"/>
        <v>47.916666666666671</v>
      </c>
      <c r="J36">
        <f>C36*1</f>
        <v>38.333333333333336</v>
      </c>
      <c r="K36">
        <f t="shared" si="10"/>
        <v>38.333333333333336</v>
      </c>
      <c r="L36">
        <f>C36*0.75</f>
        <v>28.75</v>
      </c>
      <c r="M36">
        <f>L36</f>
        <v>28.75</v>
      </c>
      <c r="N36">
        <f>L36</f>
        <v>28.75</v>
      </c>
      <c r="O36">
        <f>L36</f>
        <v>28.75</v>
      </c>
      <c r="P36">
        <f t="shared" si="15"/>
        <v>460</v>
      </c>
      <c r="Q36">
        <f t="shared" si="16"/>
        <v>460</v>
      </c>
    </row>
    <row r="37" spans="1:17" x14ac:dyDescent="0.25">
      <c r="A37" t="str">
        <f t="shared" si="0"/>
        <v>CR4</v>
      </c>
      <c r="B37">
        <f t="shared" si="1"/>
        <v>4</v>
      </c>
      <c r="C37" s="8">
        <f>B13/3</f>
        <v>28</v>
      </c>
      <c r="D37">
        <f>C37*1.5</f>
        <v>42</v>
      </c>
      <c r="E37">
        <f>C37*1</f>
        <v>28</v>
      </c>
      <c r="F37">
        <f>C37*0.5</f>
        <v>14</v>
      </c>
      <c r="P37">
        <f t="shared" si="15"/>
        <v>84</v>
      </c>
      <c r="Q37">
        <f t="shared" si="16"/>
        <v>84</v>
      </c>
    </row>
    <row r="38" spans="1:17" x14ac:dyDescent="0.25">
      <c r="A38" t="str">
        <f t="shared" si="0"/>
        <v>CR3</v>
      </c>
      <c r="B38">
        <f t="shared" si="1"/>
        <v>5</v>
      </c>
      <c r="C38" s="8">
        <f>B14/3</f>
        <v>35</v>
      </c>
      <c r="D38">
        <f>C38*1.5</f>
        <v>52.5</v>
      </c>
      <c r="E38">
        <f>C38*1</f>
        <v>35</v>
      </c>
      <c r="F38">
        <f>C38*0.5</f>
        <v>17.5</v>
      </c>
      <c r="P38">
        <f t="shared" si="15"/>
        <v>105</v>
      </c>
      <c r="Q38">
        <f t="shared" si="16"/>
        <v>105</v>
      </c>
    </row>
    <row r="39" spans="1:17" x14ac:dyDescent="0.25">
      <c r="A39" t="str">
        <f t="shared" si="0"/>
        <v>TBO14</v>
      </c>
      <c r="B39">
        <f t="shared" si="1"/>
        <v>16</v>
      </c>
      <c r="C39" s="8">
        <f>B15/12</f>
        <v>29.166666666666668</v>
      </c>
      <c r="D39">
        <f>C39*3</f>
        <v>87.5</v>
      </c>
      <c r="E39">
        <f>C39*2.5</f>
        <v>72.916666666666671</v>
      </c>
      <c r="F39">
        <f>C39*2</f>
        <v>58.333333333333336</v>
      </c>
      <c r="G39">
        <f>C39*1.5</f>
        <v>43.75</v>
      </c>
      <c r="H39">
        <f>C39*1.25</f>
        <v>36.458333333333336</v>
      </c>
      <c r="I39">
        <f>H39</f>
        <v>36.458333333333336</v>
      </c>
      <c r="J39">
        <f>C39*1</f>
        <v>29.166666666666668</v>
      </c>
      <c r="K39">
        <f>J39</f>
        <v>29.166666666666668</v>
      </c>
      <c r="L39">
        <f>C39*0.75</f>
        <v>21.875</v>
      </c>
      <c r="M39">
        <f>L39</f>
        <v>21.875</v>
      </c>
      <c r="N39">
        <f>L39</f>
        <v>21.875</v>
      </c>
      <c r="O39">
        <f>L39</f>
        <v>21.875</v>
      </c>
      <c r="P39">
        <f t="shared" si="15"/>
        <v>350</v>
      </c>
      <c r="Q39">
        <f t="shared" si="16"/>
        <v>350</v>
      </c>
    </row>
    <row r="40" spans="1:17" x14ac:dyDescent="0.25">
      <c r="A40" t="str">
        <f t="shared" si="0"/>
        <v>CR2</v>
      </c>
      <c r="B40">
        <f t="shared" si="1"/>
        <v>7</v>
      </c>
      <c r="C40" s="8">
        <f>B16/3</f>
        <v>49</v>
      </c>
      <c r="D40">
        <f>C40*1.5</f>
        <v>73.5</v>
      </c>
      <c r="E40">
        <f>C40*1</f>
        <v>49</v>
      </c>
      <c r="F40">
        <f>C40*0.5</f>
        <v>24.5</v>
      </c>
      <c r="P40">
        <f t="shared" si="15"/>
        <v>147</v>
      </c>
      <c r="Q40">
        <f t="shared" si="16"/>
        <v>147</v>
      </c>
    </row>
    <row r="41" spans="1:17" x14ac:dyDescent="0.25">
      <c r="A41" t="str">
        <f t="shared" si="0"/>
        <v>CR1</v>
      </c>
      <c r="B41">
        <f t="shared" si="1"/>
        <v>5</v>
      </c>
      <c r="C41" s="8">
        <f>B17/3</f>
        <v>35</v>
      </c>
      <c r="D41">
        <f>C41*1.5</f>
        <v>52.5</v>
      </c>
      <c r="E41">
        <f>C41*1</f>
        <v>35</v>
      </c>
      <c r="F41">
        <f>C41*0.5</f>
        <v>17.5</v>
      </c>
      <c r="P41">
        <f t="shared" si="15"/>
        <v>105</v>
      </c>
      <c r="Q41">
        <f t="shared" si="16"/>
        <v>105</v>
      </c>
    </row>
    <row r="42" spans="1:17" x14ac:dyDescent="0.25">
      <c r="A42" t="str">
        <f t="shared" si="0"/>
        <v>TBO13</v>
      </c>
      <c r="B42">
        <f t="shared" si="1"/>
        <v>18</v>
      </c>
      <c r="C42" s="8">
        <f>B18/12</f>
        <v>35.25</v>
      </c>
      <c r="D42">
        <f>C42*3</f>
        <v>105.75</v>
      </c>
      <c r="E42">
        <f>C42*2.5</f>
        <v>88.125</v>
      </c>
      <c r="F42">
        <f>C42*2</f>
        <v>70.5</v>
      </c>
      <c r="G42">
        <f>C42*1.5</f>
        <v>52.875</v>
      </c>
      <c r="H42">
        <f>C42*1.25</f>
        <v>44.0625</v>
      </c>
      <c r="I42">
        <f>H42</f>
        <v>44.0625</v>
      </c>
      <c r="J42">
        <f>C42*1</f>
        <v>35.25</v>
      </c>
      <c r="K42">
        <f>J42</f>
        <v>35.25</v>
      </c>
      <c r="L42">
        <f>C42*0.75</f>
        <v>26.4375</v>
      </c>
      <c r="M42">
        <f>L42</f>
        <v>26.4375</v>
      </c>
      <c r="N42">
        <f>L42</f>
        <v>26.4375</v>
      </c>
      <c r="O42">
        <f>L42</f>
        <v>26.4375</v>
      </c>
      <c r="P42">
        <f t="shared" si="15"/>
        <v>423</v>
      </c>
      <c r="Q42">
        <f t="shared" si="16"/>
        <v>423</v>
      </c>
    </row>
    <row r="43" spans="1:17" x14ac:dyDescent="0.25">
      <c r="A43" t="str">
        <f t="shared" si="0"/>
        <v>TBO12</v>
      </c>
      <c r="B43">
        <f t="shared" si="1"/>
        <v>7</v>
      </c>
      <c r="C43" s="8">
        <f>B19/3</f>
        <v>49</v>
      </c>
      <c r="D43">
        <f>C43*1.5</f>
        <v>73.5</v>
      </c>
      <c r="E43">
        <f>C43*1</f>
        <v>49</v>
      </c>
      <c r="F43">
        <f>C43*0.5</f>
        <v>24.5</v>
      </c>
      <c r="P43">
        <f t="shared" si="15"/>
        <v>147</v>
      </c>
      <c r="Q43">
        <f t="shared" si="16"/>
        <v>147</v>
      </c>
    </row>
  </sheetData>
  <pageMargins left="0.7" right="0.7" top="0.75" bottom="0.75" header="0.3" footer="0.3"/>
  <pageSetup paperSize="9" orientation="portrait" r:id="rId1"/>
  <ignoredErrors>
    <ignoredError sqref="J2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AB2F-82CD-4DEB-AE52-ED885DE8E0EB}">
  <dimension ref="A1:AD58"/>
  <sheetViews>
    <sheetView workbookViewId="0">
      <selection activeCell="G4" sqref="G4"/>
    </sheetView>
  </sheetViews>
  <sheetFormatPr baseColWidth="10" defaultRowHeight="15" x14ac:dyDescent="0.25"/>
  <cols>
    <col min="1" max="1" width="11.85546875" bestFit="1" customWidth="1"/>
  </cols>
  <sheetData>
    <row r="1" spans="1:30" x14ac:dyDescent="0.25">
      <c r="A1" s="8" t="s">
        <v>34</v>
      </c>
      <c r="B1" s="4" t="s">
        <v>0</v>
      </c>
      <c r="C1" t="s">
        <v>1</v>
      </c>
      <c r="D1" s="5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159</v>
      </c>
    </row>
    <row r="2" spans="1:30" x14ac:dyDescent="0.25">
      <c r="A2" s="8" t="str">
        <f>TorneosScore!A2</f>
        <v>CoD4</v>
      </c>
      <c r="B2" s="7" t="s">
        <v>158</v>
      </c>
      <c r="C2" s="7">
        <v>3</v>
      </c>
      <c r="D2" s="7" t="s">
        <v>158</v>
      </c>
      <c r="E2" s="7">
        <v>5</v>
      </c>
      <c r="F2" s="7">
        <v>5</v>
      </c>
      <c r="G2" s="7">
        <v>7</v>
      </c>
      <c r="H2" s="7">
        <v>9</v>
      </c>
      <c r="I2" s="7" t="s">
        <v>158</v>
      </c>
      <c r="J2" s="7" t="s">
        <v>158</v>
      </c>
      <c r="K2" s="7" t="s">
        <v>158</v>
      </c>
      <c r="L2" s="7">
        <v>13</v>
      </c>
      <c r="M2" s="7">
        <v>13</v>
      </c>
      <c r="N2" s="7" t="s">
        <v>158</v>
      </c>
      <c r="O2" s="7">
        <v>9</v>
      </c>
      <c r="P2" s="7">
        <v>13</v>
      </c>
      <c r="Q2" s="7" t="s">
        <v>158</v>
      </c>
      <c r="R2" s="7">
        <v>9</v>
      </c>
      <c r="S2" s="7" t="s">
        <v>158</v>
      </c>
      <c r="T2" s="7" t="s">
        <v>158</v>
      </c>
      <c r="U2" s="7" t="s">
        <v>158</v>
      </c>
      <c r="V2" s="7">
        <v>13</v>
      </c>
      <c r="W2" s="7" t="s">
        <v>158</v>
      </c>
      <c r="X2" s="7" t="s">
        <v>158</v>
      </c>
      <c r="Y2" s="7"/>
      <c r="Z2" s="7"/>
      <c r="AA2" s="7"/>
      <c r="AB2" s="7"/>
      <c r="AC2" s="7"/>
      <c r="AD2" s="7"/>
    </row>
    <row r="3" spans="1:30" x14ac:dyDescent="0.25">
      <c r="A3" s="8" t="str">
        <f>TorneosScore!A3</f>
        <v>Corona</v>
      </c>
      <c r="B3" s="7">
        <v>1</v>
      </c>
      <c r="C3" s="7">
        <v>2</v>
      </c>
      <c r="D3" s="7" t="s">
        <v>158</v>
      </c>
      <c r="E3" s="7">
        <v>5</v>
      </c>
      <c r="F3" s="7">
        <v>4</v>
      </c>
      <c r="G3" s="7">
        <v>3</v>
      </c>
      <c r="H3" s="7">
        <v>7</v>
      </c>
      <c r="I3" s="7" t="s">
        <v>158</v>
      </c>
      <c r="J3" s="7" t="s">
        <v>158</v>
      </c>
      <c r="K3" s="7">
        <v>5</v>
      </c>
      <c r="L3" s="7">
        <v>9</v>
      </c>
      <c r="M3" s="7">
        <v>7</v>
      </c>
      <c r="N3" s="7">
        <v>9</v>
      </c>
      <c r="O3" s="7">
        <v>9</v>
      </c>
      <c r="P3" s="7">
        <v>9</v>
      </c>
      <c r="Q3" s="7" t="s">
        <v>158</v>
      </c>
      <c r="R3" s="7" t="s">
        <v>158</v>
      </c>
      <c r="S3" s="7">
        <v>13</v>
      </c>
      <c r="T3" s="7" t="s">
        <v>158</v>
      </c>
      <c r="U3" s="7">
        <v>13</v>
      </c>
      <c r="V3" s="7" t="s">
        <v>158</v>
      </c>
      <c r="W3" s="7" t="s">
        <v>158</v>
      </c>
      <c r="X3" s="7" t="s">
        <v>158</v>
      </c>
      <c r="Y3" s="7"/>
      <c r="Z3" s="7"/>
      <c r="AA3" s="7"/>
      <c r="AB3" s="7"/>
      <c r="AC3" s="7"/>
      <c r="AD3" s="7"/>
    </row>
    <row r="4" spans="1:30" x14ac:dyDescent="0.25">
      <c r="A4" s="8" t="str">
        <f>TorneosScore!A4</f>
        <v>CoD3</v>
      </c>
      <c r="B4" s="7" t="s">
        <v>158</v>
      </c>
      <c r="C4" s="7" t="s">
        <v>158</v>
      </c>
      <c r="D4" s="7" t="s">
        <v>158</v>
      </c>
      <c r="E4" s="7">
        <v>7</v>
      </c>
      <c r="F4" s="7">
        <v>9</v>
      </c>
      <c r="G4" s="7">
        <v>9</v>
      </c>
      <c r="H4" s="7">
        <v>13</v>
      </c>
      <c r="I4" s="7" t="s">
        <v>158</v>
      </c>
      <c r="J4" s="7" t="s">
        <v>158</v>
      </c>
      <c r="K4" s="7">
        <v>9</v>
      </c>
      <c r="L4" s="7">
        <v>17</v>
      </c>
      <c r="M4" s="7">
        <v>17</v>
      </c>
      <c r="N4" s="7">
        <v>13</v>
      </c>
      <c r="O4" s="7" t="s">
        <v>158</v>
      </c>
      <c r="P4" s="7">
        <v>17</v>
      </c>
      <c r="Q4" s="7" t="s">
        <v>158</v>
      </c>
      <c r="R4" s="7">
        <v>17</v>
      </c>
      <c r="S4" s="7">
        <v>17</v>
      </c>
      <c r="T4" s="7" t="s">
        <v>158</v>
      </c>
      <c r="U4" s="7" t="s">
        <v>158</v>
      </c>
      <c r="V4" s="7">
        <v>17</v>
      </c>
      <c r="W4" s="7" t="s">
        <v>158</v>
      </c>
      <c r="X4" s="7" t="s">
        <v>158</v>
      </c>
      <c r="Y4" s="7"/>
      <c r="Z4" s="7"/>
      <c r="AA4" s="7"/>
      <c r="AB4" s="7"/>
      <c r="AC4" s="7"/>
      <c r="AD4" s="7"/>
    </row>
    <row r="5" spans="1:30" x14ac:dyDescent="0.25">
      <c r="A5" s="8" t="str">
        <f>TorneosScore!A5</f>
        <v>Estrella</v>
      </c>
      <c r="B5" s="7" t="s">
        <v>158</v>
      </c>
      <c r="C5" s="7">
        <v>1</v>
      </c>
      <c r="D5" s="7" t="s">
        <v>158</v>
      </c>
      <c r="E5" s="7" t="s">
        <v>158</v>
      </c>
      <c r="F5" s="7">
        <v>3</v>
      </c>
      <c r="G5" s="7">
        <v>4</v>
      </c>
      <c r="H5" s="7" t="s">
        <v>158</v>
      </c>
      <c r="I5" s="7" t="s">
        <v>158</v>
      </c>
      <c r="J5" s="7" t="s">
        <v>158</v>
      </c>
      <c r="K5" s="7">
        <v>5</v>
      </c>
      <c r="L5" s="7">
        <v>7</v>
      </c>
      <c r="M5" s="7">
        <v>9</v>
      </c>
      <c r="N5" s="7" t="s">
        <v>158</v>
      </c>
      <c r="O5" s="7" t="s">
        <v>158</v>
      </c>
      <c r="P5" s="7">
        <v>17</v>
      </c>
      <c r="Q5" s="7" t="s">
        <v>158</v>
      </c>
      <c r="R5" s="7">
        <v>9</v>
      </c>
      <c r="S5" s="7">
        <v>13</v>
      </c>
      <c r="T5" s="7" t="s">
        <v>158</v>
      </c>
      <c r="U5" s="7" t="s">
        <v>158</v>
      </c>
      <c r="V5" s="7" t="s">
        <v>158</v>
      </c>
      <c r="W5" s="7">
        <v>13</v>
      </c>
      <c r="X5" s="7" t="s">
        <v>158</v>
      </c>
      <c r="Y5" s="7"/>
      <c r="Z5" s="7"/>
      <c r="AA5" s="7"/>
      <c r="AB5" s="7"/>
      <c r="AC5" s="7"/>
      <c r="AD5" s="7"/>
    </row>
    <row r="6" spans="1:30" x14ac:dyDescent="0.25">
      <c r="A6" s="8" t="str">
        <f>TorneosScore!A6</f>
        <v>CoD2</v>
      </c>
      <c r="B6" s="7" t="s">
        <v>158</v>
      </c>
      <c r="C6" s="7">
        <v>4</v>
      </c>
      <c r="D6" s="7" t="s">
        <v>158</v>
      </c>
      <c r="E6" s="7" t="s">
        <v>158</v>
      </c>
      <c r="F6" s="7">
        <v>7</v>
      </c>
      <c r="G6" s="7">
        <v>5</v>
      </c>
      <c r="H6" s="7" t="s">
        <v>158</v>
      </c>
      <c r="I6" s="7" t="s">
        <v>158</v>
      </c>
      <c r="J6" s="7" t="s">
        <v>158</v>
      </c>
      <c r="K6" s="7">
        <v>7</v>
      </c>
      <c r="L6" s="7" t="s">
        <v>158</v>
      </c>
      <c r="M6" s="7">
        <v>9</v>
      </c>
      <c r="N6" s="7" t="s">
        <v>158</v>
      </c>
      <c r="O6" s="7" t="s">
        <v>158</v>
      </c>
      <c r="P6" s="7" t="s">
        <v>158</v>
      </c>
      <c r="Q6" s="7" t="s">
        <v>158</v>
      </c>
      <c r="R6" s="7" t="s">
        <v>158</v>
      </c>
      <c r="S6" s="7">
        <v>13</v>
      </c>
      <c r="T6" s="7" t="s">
        <v>158</v>
      </c>
      <c r="U6" s="7" t="s">
        <v>158</v>
      </c>
      <c r="V6" s="7" t="s">
        <v>158</v>
      </c>
      <c r="W6" s="7" t="s">
        <v>158</v>
      </c>
      <c r="X6" s="7" t="s">
        <v>158</v>
      </c>
      <c r="Y6" s="7"/>
      <c r="Z6" s="7"/>
      <c r="AA6" s="7"/>
      <c r="AB6" s="7"/>
      <c r="AC6" s="7"/>
      <c r="AD6" s="7"/>
    </row>
    <row r="7" spans="1:30" x14ac:dyDescent="0.25">
      <c r="A7" s="8" t="str">
        <f>TorneosScore!A7</f>
        <v>Flor</v>
      </c>
      <c r="B7" s="7">
        <v>1</v>
      </c>
      <c r="C7" s="7">
        <v>4</v>
      </c>
      <c r="D7" s="7" t="s">
        <v>158</v>
      </c>
      <c r="E7" s="7" t="s">
        <v>158</v>
      </c>
      <c r="F7" s="7">
        <v>9</v>
      </c>
      <c r="G7" s="7" t="s">
        <v>158</v>
      </c>
      <c r="H7" s="7">
        <v>13</v>
      </c>
      <c r="I7" s="7" t="s">
        <v>158</v>
      </c>
      <c r="J7" s="7" t="s">
        <v>158</v>
      </c>
      <c r="K7" s="7">
        <v>9</v>
      </c>
      <c r="L7" s="7">
        <v>9</v>
      </c>
      <c r="M7" s="7" t="s">
        <v>158</v>
      </c>
      <c r="N7" s="7" t="s">
        <v>158</v>
      </c>
      <c r="O7" s="7" t="s">
        <v>158</v>
      </c>
      <c r="P7" s="7">
        <v>13</v>
      </c>
      <c r="Q7" s="7" t="s">
        <v>158</v>
      </c>
      <c r="R7" s="7">
        <v>13</v>
      </c>
      <c r="S7" s="7" t="s">
        <v>158</v>
      </c>
      <c r="T7" s="7" t="s">
        <v>158</v>
      </c>
      <c r="U7" s="7">
        <v>13</v>
      </c>
      <c r="V7" s="7" t="s">
        <v>158</v>
      </c>
      <c r="W7" s="7" t="s">
        <v>158</v>
      </c>
      <c r="X7" s="7" t="s">
        <v>158</v>
      </c>
      <c r="Y7" s="7"/>
      <c r="Z7" s="7"/>
      <c r="AA7" s="7"/>
      <c r="AB7" s="7"/>
      <c r="AC7" s="7"/>
      <c r="AD7" s="7"/>
    </row>
    <row r="8" spans="1:30" x14ac:dyDescent="0.25">
      <c r="A8" s="8" t="str">
        <f>TorneosScore!A8</f>
        <v>CoD1</v>
      </c>
      <c r="B8" s="7" t="s">
        <v>158</v>
      </c>
      <c r="C8" s="7" t="s">
        <v>158</v>
      </c>
      <c r="D8" s="7" t="s">
        <v>158</v>
      </c>
      <c r="E8" s="7">
        <v>1</v>
      </c>
      <c r="F8" s="7">
        <v>2</v>
      </c>
      <c r="G8" s="7">
        <v>4</v>
      </c>
      <c r="H8" s="7">
        <v>5</v>
      </c>
      <c r="I8" s="7">
        <v>3</v>
      </c>
      <c r="J8" s="7" t="s">
        <v>158</v>
      </c>
      <c r="K8" s="7" t="s">
        <v>158</v>
      </c>
      <c r="L8" s="7">
        <v>7</v>
      </c>
      <c r="M8" s="7" t="s">
        <v>158</v>
      </c>
      <c r="N8" s="7" t="s">
        <v>158</v>
      </c>
      <c r="O8" s="7" t="s">
        <v>158</v>
      </c>
      <c r="P8" s="7">
        <v>9</v>
      </c>
      <c r="Q8" s="7" t="s">
        <v>158</v>
      </c>
      <c r="R8" s="7">
        <v>9</v>
      </c>
      <c r="S8" s="7" t="s">
        <v>158</v>
      </c>
      <c r="T8" s="7" t="s">
        <v>158</v>
      </c>
      <c r="U8" s="7" t="s">
        <v>158</v>
      </c>
      <c r="V8" s="7" t="s">
        <v>158</v>
      </c>
      <c r="W8" s="7" t="s">
        <v>158</v>
      </c>
      <c r="X8" s="7" t="s">
        <v>158</v>
      </c>
      <c r="Y8" s="7"/>
      <c r="Z8" s="7"/>
      <c r="AA8" s="7"/>
      <c r="AB8" s="7"/>
      <c r="AC8" s="7"/>
      <c r="AD8" s="7"/>
    </row>
    <row r="9" spans="1:30" x14ac:dyDescent="0.25">
      <c r="A9" s="8" t="str">
        <f>TorneosScore!A9</f>
        <v>Champiñón</v>
      </c>
      <c r="B9" s="7" t="s">
        <v>158</v>
      </c>
      <c r="C9" s="7">
        <v>3</v>
      </c>
      <c r="D9" s="7" t="s">
        <v>158</v>
      </c>
      <c r="E9" s="7" t="s">
        <v>158</v>
      </c>
      <c r="F9" s="7">
        <v>4</v>
      </c>
      <c r="G9" s="7" t="s">
        <v>158</v>
      </c>
      <c r="H9" s="7">
        <v>5</v>
      </c>
      <c r="I9" s="7" t="s">
        <v>158</v>
      </c>
      <c r="J9" s="7">
        <v>5</v>
      </c>
      <c r="K9" s="7" t="s">
        <v>158</v>
      </c>
      <c r="L9" s="7">
        <v>7</v>
      </c>
      <c r="M9" s="7" t="s">
        <v>158</v>
      </c>
      <c r="N9" s="7">
        <v>9</v>
      </c>
      <c r="O9" s="7" t="s">
        <v>158</v>
      </c>
      <c r="P9" s="7">
        <v>9</v>
      </c>
      <c r="Q9" s="7" t="s">
        <v>158</v>
      </c>
      <c r="R9" s="7" t="s">
        <v>158</v>
      </c>
      <c r="S9" s="7">
        <v>9</v>
      </c>
      <c r="T9" s="7" t="s">
        <v>158</v>
      </c>
      <c r="U9" s="7" t="s">
        <v>158</v>
      </c>
      <c r="V9" s="7" t="s">
        <v>158</v>
      </c>
      <c r="W9" s="7">
        <v>13</v>
      </c>
      <c r="X9" s="7" t="s">
        <v>158</v>
      </c>
      <c r="Y9" s="7"/>
      <c r="Z9" s="7"/>
      <c r="AA9" s="7"/>
      <c r="AB9" s="7"/>
      <c r="AC9" s="7"/>
      <c r="AD9" s="7"/>
    </row>
    <row r="10" spans="1:30" x14ac:dyDescent="0.25">
      <c r="A10" s="8" t="str">
        <f>TorneosScore!A10</f>
        <v>TBO17</v>
      </c>
      <c r="B10" s="7">
        <v>1</v>
      </c>
      <c r="C10" s="7">
        <v>3</v>
      </c>
      <c r="D10" s="7" t="s">
        <v>158</v>
      </c>
      <c r="E10" s="7">
        <v>2</v>
      </c>
      <c r="F10" s="7">
        <v>5</v>
      </c>
      <c r="G10" s="7">
        <v>4</v>
      </c>
      <c r="H10" s="7">
        <v>7</v>
      </c>
      <c r="I10" s="7" t="s">
        <v>158</v>
      </c>
      <c r="J10" s="7" t="s">
        <v>158</v>
      </c>
      <c r="K10" s="7" t="s">
        <v>158</v>
      </c>
      <c r="L10" s="7" t="s">
        <v>158</v>
      </c>
      <c r="M10" s="7" t="s">
        <v>158</v>
      </c>
      <c r="N10" s="7">
        <v>9</v>
      </c>
      <c r="O10" s="7" t="s">
        <v>158</v>
      </c>
      <c r="P10" s="7" t="s">
        <v>158</v>
      </c>
      <c r="Q10" s="7">
        <v>7</v>
      </c>
      <c r="R10" s="7">
        <v>9</v>
      </c>
      <c r="S10" s="7">
        <v>9</v>
      </c>
      <c r="T10" s="7" t="s">
        <v>158</v>
      </c>
      <c r="U10" s="7" t="s">
        <v>158</v>
      </c>
      <c r="V10" s="7" t="s">
        <v>158</v>
      </c>
      <c r="W10" s="7" t="s">
        <v>158</v>
      </c>
      <c r="X10" s="7" t="s">
        <v>158</v>
      </c>
      <c r="Y10" s="7"/>
      <c r="Z10" s="7"/>
      <c r="AA10" s="7"/>
      <c r="AB10" s="7"/>
      <c r="AC10" s="7"/>
      <c r="AD10" s="7"/>
    </row>
    <row r="11" spans="1:30" x14ac:dyDescent="0.25">
      <c r="A11" s="8" t="str">
        <f>TorneosScore!A11</f>
        <v>TBO16</v>
      </c>
      <c r="B11" s="7" t="s">
        <v>158</v>
      </c>
      <c r="C11" s="7">
        <v>2</v>
      </c>
      <c r="D11" s="7" t="s">
        <v>158</v>
      </c>
      <c r="E11" s="7">
        <v>7</v>
      </c>
      <c r="F11" s="7">
        <v>5</v>
      </c>
      <c r="G11" s="7">
        <v>9</v>
      </c>
      <c r="H11" s="7">
        <v>7</v>
      </c>
      <c r="I11" s="7">
        <v>9</v>
      </c>
      <c r="J11" s="7">
        <v>9</v>
      </c>
      <c r="K11" s="7" t="s">
        <v>158</v>
      </c>
      <c r="L11" s="7">
        <v>13</v>
      </c>
      <c r="M11" s="7" t="s">
        <v>158</v>
      </c>
      <c r="N11" s="7" t="s">
        <v>158</v>
      </c>
      <c r="O11" s="7" t="s">
        <v>158</v>
      </c>
      <c r="P11" s="7" t="s">
        <v>158</v>
      </c>
      <c r="Q11" s="7" t="s">
        <v>158</v>
      </c>
      <c r="R11" s="7">
        <v>17</v>
      </c>
      <c r="S11" s="7">
        <v>17</v>
      </c>
      <c r="T11" s="7" t="s">
        <v>158</v>
      </c>
      <c r="U11" s="7" t="s">
        <v>158</v>
      </c>
      <c r="V11" s="7" t="s">
        <v>158</v>
      </c>
      <c r="W11" s="7" t="s">
        <v>158</v>
      </c>
      <c r="X11" s="7" t="s">
        <v>158</v>
      </c>
      <c r="Y11" s="7"/>
      <c r="Z11" s="7"/>
      <c r="AA11" s="7"/>
      <c r="AB11" s="7"/>
      <c r="AC11" s="7"/>
      <c r="AD11" s="7"/>
    </row>
    <row r="12" spans="1:30" x14ac:dyDescent="0.25">
      <c r="A12" s="8" t="str">
        <f>TorneosScore!A12</f>
        <v>TBO15</v>
      </c>
      <c r="B12" s="7">
        <v>3</v>
      </c>
      <c r="C12" s="7">
        <v>5</v>
      </c>
      <c r="D12" s="7" t="s">
        <v>158</v>
      </c>
      <c r="E12" s="7">
        <v>9</v>
      </c>
      <c r="F12" s="7">
        <v>7</v>
      </c>
      <c r="G12" s="7">
        <v>9</v>
      </c>
      <c r="H12" s="7">
        <v>7</v>
      </c>
      <c r="I12" s="7" t="s">
        <v>158</v>
      </c>
      <c r="J12" s="7">
        <v>13</v>
      </c>
      <c r="K12" s="7" t="s">
        <v>158</v>
      </c>
      <c r="L12" s="7">
        <v>13</v>
      </c>
      <c r="M12" s="7" t="s">
        <v>158</v>
      </c>
      <c r="N12" s="7" t="s">
        <v>158</v>
      </c>
      <c r="O12" s="7">
        <v>13</v>
      </c>
      <c r="P12" s="7" t="s">
        <v>158</v>
      </c>
      <c r="Q12" s="7" t="s">
        <v>158</v>
      </c>
      <c r="R12" s="7">
        <v>17</v>
      </c>
      <c r="S12" s="7">
        <v>17</v>
      </c>
      <c r="T12" s="7" t="s">
        <v>158</v>
      </c>
      <c r="U12" s="7" t="s">
        <v>158</v>
      </c>
      <c r="V12" s="7" t="s">
        <v>158</v>
      </c>
      <c r="W12" s="7" t="s">
        <v>158</v>
      </c>
      <c r="X12" s="7" t="s">
        <v>158</v>
      </c>
      <c r="Y12" s="7"/>
      <c r="Z12" s="7"/>
      <c r="AA12" s="7"/>
      <c r="AB12" s="7"/>
      <c r="AC12" s="7"/>
      <c r="AD12" s="7"/>
    </row>
    <row r="13" spans="1:30" x14ac:dyDescent="0.25">
      <c r="A13" s="8" t="str">
        <f>TorneosScore!A13</f>
        <v>CR4</v>
      </c>
      <c r="B13" s="7" t="s">
        <v>158</v>
      </c>
      <c r="C13" s="7">
        <v>1</v>
      </c>
      <c r="D13" s="7" t="s">
        <v>158</v>
      </c>
      <c r="E13" s="7" t="s">
        <v>158</v>
      </c>
      <c r="F13" s="7">
        <v>2</v>
      </c>
      <c r="G13" s="7">
        <v>3</v>
      </c>
      <c r="H13" s="7" t="s">
        <v>158</v>
      </c>
      <c r="I13" s="7" t="s">
        <v>158</v>
      </c>
      <c r="J13" s="7" t="s">
        <v>158</v>
      </c>
      <c r="K13" s="7" t="s">
        <v>158</v>
      </c>
      <c r="L13" s="7" t="s">
        <v>158</v>
      </c>
      <c r="M13" s="7" t="s">
        <v>158</v>
      </c>
      <c r="N13" s="7" t="s">
        <v>158</v>
      </c>
      <c r="O13" s="7" t="s">
        <v>158</v>
      </c>
      <c r="P13" s="7" t="s">
        <v>158</v>
      </c>
      <c r="Q13" s="7" t="s">
        <v>158</v>
      </c>
      <c r="R13" s="7" t="s">
        <v>158</v>
      </c>
      <c r="S13" s="7">
        <v>4</v>
      </c>
      <c r="T13" s="7" t="s">
        <v>158</v>
      </c>
      <c r="U13" s="7" t="s">
        <v>158</v>
      </c>
      <c r="V13" s="7" t="s">
        <v>158</v>
      </c>
      <c r="W13" s="7" t="s">
        <v>158</v>
      </c>
      <c r="X13" s="7" t="s">
        <v>158</v>
      </c>
      <c r="Y13" s="7"/>
      <c r="Z13" s="7"/>
      <c r="AA13" s="7"/>
      <c r="AB13" s="7"/>
      <c r="AC13" s="7"/>
      <c r="AD13" s="7"/>
    </row>
    <row r="14" spans="1:30" x14ac:dyDescent="0.25">
      <c r="A14" s="8" t="str">
        <f>TorneosScore!A14</f>
        <v>CR3</v>
      </c>
      <c r="B14" s="7" t="s">
        <v>158</v>
      </c>
      <c r="C14" s="7" t="s">
        <v>158</v>
      </c>
      <c r="D14" s="7" t="s">
        <v>158</v>
      </c>
      <c r="E14" s="7" t="s">
        <v>158</v>
      </c>
      <c r="F14" s="7">
        <v>1</v>
      </c>
      <c r="G14" s="7" t="s">
        <v>158</v>
      </c>
      <c r="H14" s="7">
        <v>2</v>
      </c>
      <c r="I14" s="7" t="s">
        <v>158</v>
      </c>
      <c r="J14" s="7" t="s">
        <v>158</v>
      </c>
      <c r="K14" s="7" t="s">
        <v>158</v>
      </c>
      <c r="L14" s="7">
        <v>3</v>
      </c>
      <c r="M14" s="7" t="s">
        <v>158</v>
      </c>
      <c r="N14" s="7" t="s">
        <v>158</v>
      </c>
      <c r="O14" s="7" t="s">
        <v>158</v>
      </c>
      <c r="P14" s="7" t="s">
        <v>158</v>
      </c>
      <c r="Q14" s="7" t="s">
        <v>158</v>
      </c>
      <c r="R14" s="7" t="s">
        <v>158</v>
      </c>
      <c r="S14" s="7">
        <v>5</v>
      </c>
      <c r="T14" s="7" t="s">
        <v>158</v>
      </c>
      <c r="U14" s="7" t="s">
        <v>158</v>
      </c>
      <c r="V14" s="7" t="s">
        <v>158</v>
      </c>
      <c r="W14" s="7" t="s">
        <v>158</v>
      </c>
      <c r="X14" s="7" t="s">
        <v>158</v>
      </c>
      <c r="Y14" s="7"/>
      <c r="Z14" s="7"/>
      <c r="AA14" s="7"/>
      <c r="AB14" s="7"/>
      <c r="AC14" s="7"/>
      <c r="AD14" s="7"/>
    </row>
    <row r="15" spans="1:30" x14ac:dyDescent="0.25">
      <c r="A15" s="8" t="str">
        <f>TorneosScore!A15</f>
        <v>TBO14</v>
      </c>
      <c r="B15" s="7" t="s">
        <v>158</v>
      </c>
      <c r="C15" s="7">
        <v>2</v>
      </c>
      <c r="D15" s="7">
        <v>1</v>
      </c>
      <c r="E15" s="7" t="s">
        <v>158</v>
      </c>
      <c r="F15" s="7">
        <v>3</v>
      </c>
      <c r="G15" s="7">
        <v>7</v>
      </c>
      <c r="H15" s="7">
        <v>4</v>
      </c>
      <c r="I15" s="7" t="s">
        <v>158</v>
      </c>
      <c r="J15" s="7">
        <v>5</v>
      </c>
      <c r="K15" s="7" t="s">
        <v>158</v>
      </c>
      <c r="L15" s="7">
        <v>9</v>
      </c>
      <c r="M15" s="7" t="s">
        <v>158</v>
      </c>
      <c r="N15" s="7" t="s">
        <v>158</v>
      </c>
      <c r="O15" s="7">
        <v>9</v>
      </c>
      <c r="P15" s="7" t="s">
        <v>158</v>
      </c>
      <c r="Q15" s="7">
        <v>7</v>
      </c>
      <c r="R15" s="7">
        <v>13</v>
      </c>
      <c r="S15" s="7">
        <v>13</v>
      </c>
      <c r="T15" s="7">
        <v>9</v>
      </c>
      <c r="U15" s="7">
        <v>13</v>
      </c>
      <c r="V15" s="7" t="s">
        <v>158</v>
      </c>
      <c r="W15" s="7" t="s">
        <v>158</v>
      </c>
      <c r="X15" s="7">
        <v>5</v>
      </c>
      <c r="Y15" s="7"/>
      <c r="Z15" s="7"/>
      <c r="AA15" s="7"/>
      <c r="AB15" s="7"/>
      <c r="AC15" s="7"/>
      <c r="AD15" s="7"/>
    </row>
    <row r="16" spans="1:30" x14ac:dyDescent="0.25">
      <c r="A16" s="8" t="str">
        <f>TorneosScore!A16</f>
        <v>CR2</v>
      </c>
      <c r="B16" s="7" t="s">
        <v>158</v>
      </c>
      <c r="C16" s="7">
        <v>2</v>
      </c>
      <c r="D16" s="7">
        <v>1</v>
      </c>
      <c r="E16" s="7" t="s">
        <v>158</v>
      </c>
      <c r="F16" s="7">
        <v>3</v>
      </c>
      <c r="G16" s="7">
        <v>4</v>
      </c>
      <c r="H16" s="7" t="s">
        <v>158</v>
      </c>
      <c r="I16" s="7" t="s">
        <v>158</v>
      </c>
      <c r="J16" s="7" t="s">
        <v>158</v>
      </c>
      <c r="K16" s="7" t="s">
        <v>158</v>
      </c>
      <c r="L16" s="7" t="s">
        <v>158</v>
      </c>
      <c r="M16" s="7" t="s">
        <v>158</v>
      </c>
      <c r="N16" s="7" t="s">
        <v>158</v>
      </c>
      <c r="O16" s="7" t="s">
        <v>158</v>
      </c>
      <c r="P16" s="7" t="s">
        <v>158</v>
      </c>
      <c r="Q16" s="7" t="s">
        <v>158</v>
      </c>
      <c r="R16" s="7" t="s">
        <v>158</v>
      </c>
      <c r="S16" s="7">
        <v>5</v>
      </c>
      <c r="T16" s="7" t="s">
        <v>158</v>
      </c>
      <c r="U16" s="7" t="s">
        <v>158</v>
      </c>
      <c r="V16" s="7" t="s">
        <v>158</v>
      </c>
      <c r="W16" s="7" t="s">
        <v>158</v>
      </c>
      <c r="X16" s="7">
        <v>5</v>
      </c>
      <c r="Y16" s="7"/>
      <c r="Z16" s="7"/>
      <c r="AA16" s="7"/>
      <c r="AB16" s="7"/>
      <c r="AC16" s="7"/>
      <c r="AD16" s="7"/>
    </row>
    <row r="17" spans="1:30" x14ac:dyDescent="0.25">
      <c r="A17" s="8" t="str">
        <f>TorneosScore!A17</f>
        <v>CR1</v>
      </c>
      <c r="B17" s="7" t="s">
        <v>158</v>
      </c>
      <c r="C17" s="7" t="s">
        <v>158</v>
      </c>
      <c r="D17" s="7">
        <v>1</v>
      </c>
      <c r="E17" s="7" t="s">
        <v>158</v>
      </c>
      <c r="F17" s="7">
        <v>4</v>
      </c>
      <c r="G17" s="7">
        <v>3</v>
      </c>
      <c r="H17" s="7" t="s">
        <v>158</v>
      </c>
      <c r="I17" s="7">
        <v>2</v>
      </c>
      <c r="J17" s="7" t="s">
        <v>158</v>
      </c>
      <c r="K17" s="7" t="s">
        <v>158</v>
      </c>
      <c r="L17" s="7" t="s">
        <v>158</v>
      </c>
      <c r="M17" s="7" t="s">
        <v>158</v>
      </c>
      <c r="N17" s="7" t="s">
        <v>158</v>
      </c>
      <c r="O17" s="7" t="s">
        <v>158</v>
      </c>
      <c r="P17" s="7" t="s">
        <v>158</v>
      </c>
      <c r="Q17" s="7" t="s">
        <v>158</v>
      </c>
      <c r="R17" s="7" t="s">
        <v>158</v>
      </c>
      <c r="S17" s="7">
        <v>5</v>
      </c>
      <c r="T17" s="7" t="s">
        <v>158</v>
      </c>
      <c r="U17" s="7" t="s">
        <v>158</v>
      </c>
      <c r="V17" s="7" t="s">
        <v>158</v>
      </c>
      <c r="W17" s="7" t="s">
        <v>158</v>
      </c>
      <c r="X17" s="7" t="s">
        <v>158</v>
      </c>
      <c r="Y17" s="7"/>
      <c r="Z17" s="7"/>
      <c r="AA17" s="7"/>
      <c r="AB17" s="7"/>
      <c r="AC17" s="7"/>
      <c r="AD17" s="7"/>
    </row>
    <row r="18" spans="1:30" x14ac:dyDescent="0.25">
      <c r="A18" s="8" t="str">
        <f>TorneosScore!A18</f>
        <v>TBO13</v>
      </c>
      <c r="B18" s="7" t="s">
        <v>158</v>
      </c>
      <c r="C18" s="7">
        <v>5</v>
      </c>
      <c r="D18" s="7">
        <v>3</v>
      </c>
      <c r="E18" s="7" t="s">
        <v>158</v>
      </c>
      <c r="F18" s="7">
        <v>2</v>
      </c>
      <c r="G18" s="7">
        <v>9</v>
      </c>
      <c r="H18" s="7">
        <v>4</v>
      </c>
      <c r="I18" s="7">
        <v>17</v>
      </c>
      <c r="J18" s="7">
        <v>7</v>
      </c>
      <c r="K18" s="7">
        <v>9</v>
      </c>
      <c r="L18" s="7">
        <v>9</v>
      </c>
      <c r="M18" s="7" t="s">
        <v>158</v>
      </c>
      <c r="N18" s="7" t="s">
        <v>158</v>
      </c>
      <c r="O18" s="7" t="s">
        <v>158</v>
      </c>
      <c r="P18" s="7" t="s">
        <v>158</v>
      </c>
      <c r="Q18" s="7">
        <v>13</v>
      </c>
      <c r="R18" s="7" t="s">
        <v>158</v>
      </c>
      <c r="S18" s="7">
        <v>17</v>
      </c>
      <c r="T18" s="7">
        <v>13</v>
      </c>
      <c r="U18" s="7" t="s">
        <v>158</v>
      </c>
      <c r="V18" s="7" t="s">
        <v>158</v>
      </c>
      <c r="W18" s="7">
        <v>13</v>
      </c>
      <c r="X18" s="7" t="s">
        <v>158</v>
      </c>
      <c r="Y18" s="7"/>
      <c r="Z18" s="7"/>
      <c r="AA18" s="7"/>
      <c r="AB18" s="7"/>
      <c r="AC18" s="7"/>
      <c r="AD18" s="7"/>
    </row>
    <row r="19" spans="1:30" x14ac:dyDescent="0.25">
      <c r="A19" s="8" t="str">
        <f>TorneosScore!A19</f>
        <v>TBO12</v>
      </c>
      <c r="B19" s="7">
        <v>1</v>
      </c>
      <c r="C19" s="7" t="s">
        <v>158</v>
      </c>
      <c r="D19" s="7">
        <v>2</v>
      </c>
      <c r="E19" s="7" t="s">
        <v>158</v>
      </c>
      <c r="F19" s="7" t="s">
        <v>158</v>
      </c>
      <c r="G19" s="7">
        <v>5</v>
      </c>
      <c r="H19" s="7">
        <v>3</v>
      </c>
      <c r="I19" s="7" t="s">
        <v>158</v>
      </c>
      <c r="J19" s="7" t="s">
        <v>158</v>
      </c>
      <c r="K19" s="7" t="s">
        <v>158</v>
      </c>
      <c r="L19" s="7">
        <v>7</v>
      </c>
      <c r="M19" s="7" t="s">
        <v>158</v>
      </c>
      <c r="N19" s="7" t="s">
        <v>158</v>
      </c>
      <c r="O19" s="7" t="s">
        <v>158</v>
      </c>
      <c r="P19" s="7" t="s">
        <v>158</v>
      </c>
      <c r="Q19" s="7">
        <v>5</v>
      </c>
      <c r="R19" s="7" t="s">
        <v>158</v>
      </c>
      <c r="S19" s="7" t="s">
        <v>158</v>
      </c>
      <c r="T19" s="7" t="s">
        <v>158</v>
      </c>
      <c r="U19" s="7" t="s">
        <v>158</v>
      </c>
      <c r="V19" s="7" t="s">
        <v>158</v>
      </c>
      <c r="W19" s="7" t="s">
        <v>158</v>
      </c>
      <c r="X19" s="7" t="s">
        <v>158</v>
      </c>
      <c r="Y19" s="7"/>
      <c r="Z19" s="7"/>
      <c r="AA19" s="7"/>
      <c r="AB19" s="7"/>
      <c r="AC19" s="7"/>
      <c r="AD19" s="7"/>
    </row>
    <row r="21" spans="1:30" x14ac:dyDescent="0.25">
      <c r="A21" s="8" t="s">
        <v>35</v>
      </c>
      <c r="B21" s="4" t="s">
        <v>0</v>
      </c>
      <c r="C21" t="s">
        <v>1</v>
      </c>
      <c r="D21" s="5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11</v>
      </c>
      <c r="N21" t="s">
        <v>12</v>
      </c>
      <c r="O21" t="s">
        <v>13</v>
      </c>
      <c r="P21" t="s">
        <v>14</v>
      </c>
      <c r="Q21" t="s">
        <v>15</v>
      </c>
      <c r="R21" t="s">
        <v>16</v>
      </c>
      <c r="S21" t="s">
        <v>17</v>
      </c>
      <c r="T21" t="s">
        <v>18</v>
      </c>
      <c r="U21" t="s">
        <v>19</v>
      </c>
      <c r="V21" t="s">
        <v>20</v>
      </c>
      <c r="W21" t="s">
        <v>21</v>
      </c>
      <c r="X21" t="s">
        <v>159</v>
      </c>
    </row>
    <row r="22" spans="1:30" x14ac:dyDescent="0.25">
      <c r="A22" s="8" t="str">
        <f>TorneosScore!A2</f>
        <v>CoD4</v>
      </c>
      <c r="B22" s="7" t="s">
        <v>158</v>
      </c>
      <c r="C22" s="7">
        <f>TorneosResults!F26</f>
        <v>70.333333333333329</v>
      </c>
      <c r="D22" s="7" t="s">
        <v>158</v>
      </c>
      <c r="E22" s="7">
        <f>TorneosResults!H26</f>
        <v>43.958333333333329</v>
      </c>
      <c r="F22" s="7">
        <f>TorneosResults!H26</f>
        <v>43.958333333333329</v>
      </c>
      <c r="G22" s="7">
        <f>TorneosResults!J26</f>
        <v>35.166666666666664</v>
      </c>
      <c r="H22" s="7">
        <f>TorneosResults!L26</f>
        <v>26.375</v>
      </c>
      <c r="I22" s="7" t="s">
        <v>158</v>
      </c>
      <c r="J22" s="7" t="s">
        <v>158</v>
      </c>
      <c r="K22" s="7" t="s">
        <v>158</v>
      </c>
      <c r="L22" s="7">
        <v>0</v>
      </c>
      <c r="M22" s="7">
        <v>0</v>
      </c>
      <c r="N22" s="7" t="s">
        <v>158</v>
      </c>
      <c r="O22" s="7">
        <f>TorneosResults!L26</f>
        <v>26.375</v>
      </c>
      <c r="P22" s="7">
        <v>0</v>
      </c>
      <c r="Q22" s="7" t="s">
        <v>158</v>
      </c>
      <c r="R22" s="7">
        <f>TorneosResults!L26</f>
        <v>26.375</v>
      </c>
      <c r="S22" s="7" t="s">
        <v>158</v>
      </c>
      <c r="T22" s="7" t="s">
        <v>158</v>
      </c>
      <c r="U22" s="7" t="s">
        <v>158</v>
      </c>
      <c r="V22" s="7">
        <v>0</v>
      </c>
      <c r="W22" s="7" t="s">
        <v>158</v>
      </c>
      <c r="X22" s="7" t="s">
        <v>158</v>
      </c>
    </row>
    <row r="23" spans="1:30" x14ac:dyDescent="0.25">
      <c r="A23" s="8" t="str">
        <f>TorneosScore!A3</f>
        <v>Corona</v>
      </c>
      <c r="B23" s="7">
        <f>TorneosResults!D27</f>
        <v>99.5</v>
      </c>
      <c r="C23" s="7">
        <f>TorneosResults!E27</f>
        <v>82.916666666666657</v>
      </c>
      <c r="D23" s="7" t="s">
        <v>158</v>
      </c>
      <c r="E23" s="7">
        <f>TorneosResults!H27</f>
        <v>41.458333333333329</v>
      </c>
      <c r="F23" s="7">
        <f>TorneosResults!G27</f>
        <v>49.75</v>
      </c>
      <c r="G23" s="7">
        <f>TorneosResults!F27</f>
        <v>66.333333333333329</v>
      </c>
      <c r="H23" s="7">
        <f>TorneosResults!J27</f>
        <v>33.166666666666664</v>
      </c>
      <c r="I23" s="7" t="s">
        <v>158</v>
      </c>
      <c r="J23" s="7" t="s">
        <v>158</v>
      </c>
      <c r="K23" s="7">
        <f>TorneosResults!H27</f>
        <v>41.458333333333329</v>
      </c>
      <c r="L23" s="7">
        <f>TorneosResults!L27</f>
        <v>24.875</v>
      </c>
      <c r="M23" s="7">
        <f>TorneosResults!J27</f>
        <v>33.166666666666664</v>
      </c>
      <c r="N23" s="7">
        <f>TorneosResults!L27</f>
        <v>24.875</v>
      </c>
      <c r="O23" s="7">
        <f>TorneosResults!L27</f>
        <v>24.875</v>
      </c>
      <c r="P23" s="7">
        <f>TorneosResults!L27</f>
        <v>24.875</v>
      </c>
      <c r="Q23" s="7" t="s">
        <v>158</v>
      </c>
      <c r="R23" s="7" t="s">
        <v>158</v>
      </c>
      <c r="S23" s="7">
        <v>0</v>
      </c>
      <c r="T23" s="7" t="s">
        <v>158</v>
      </c>
      <c r="U23" s="7">
        <v>0</v>
      </c>
      <c r="V23" s="7" t="s">
        <v>158</v>
      </c>
      <c r="W23" s="7" t="s">
        <v>158</v>
      </c>
      <c r="X23" s="7" t="s">
        <v>158</v>
      </c>
    </row>
    <row r="24" spans="1:30" x14ac:dyDescent="0.25">
      <c r="A24" s="8" t="str">
        <f>TorneosScore!A4</f>
        <v>CoD3</v>
      </c>
      <c r="B24" s="7" t="s">
        <v>158</v>
      </c>
      <c r="C24" s="7" t="s">
        <v>158</v>
      </c>
      <c r="D24" s="7" t="s">
        <v>158</v>
      </c>
      <c r="E24" s="7">
        <f>TorneosResults!J28</f>
        <v>49.666666666666664</v>
      </c>
      <c r="F24" s="7">
        <f>TorneosResults!L28</f>
        <v>37.25</v>
      </c>
      <c r="G24" s="7">
        <f>TorneosResults!L28</f>
        <v>37.25</v>
      </c>
      <c r="H24" s="7">
        <v>0</v>
      </c>
      <c r="I24" s="7" t="s">
        <v>158</v>
      </c>
      <c r="J24" s="7" t="s">
        <v>158</v>
      </c>
      <c r="K24" s="7">
        <f>TorneosResults!L28</f>
        <v>37.25</v>
      </c>
      <c r="L24" s="7">
        <v>0</v>
      </c>
      <c r="M24" s="7">
        <v>0</v>
      </c>
      <c r="N24" s="7">
        <v>0</v>
      </c>
      <c r="O24" s="7" t="s">
        <v>158</v>
      </c>
      <c r="P24" s="7">
        <v>0</v>
      </c>
      <c r="Q24" s="7" t="s">
        <v>158</v>
      </c>
      <c r="R24" s="7">
        <v>0</v>
      </c>
      <c r="S24" s="7">
        <v>0</v>
      </c>
      <c r="T24" s="7" t="s">
        <v>158</v>
      </c>
      <c r="U24" s="7" t="s">
        <v>158</v>
      </c>
      <c r="V24" s="7">
        <v>0</v>
      </c>
      <c r="W24" s="7" t="s">
        <v>158</v>
      </c>
      <c r="X24" s="7" t="s">
        <v>158</v>
      </c>
    </row>
    <row r="25" spans="1:30" x14ac:dyDescent="0.25">
      <c r="A25" s="8" t="str">
        <f>TorneosScore!A5</f>
        <v>Estrella</v>
      </c>
      <c r="B25" s="7" t="s">
        <v>158</v>
      </c>
      <c r="C25" s="7">
        <f>TorneosResults!D29</f>
        <v>102.5</v>
      </c>
      <c r="D25" s="7" t="s">
        <v>158</v>
      </c>
      <c r="E25" s="7" t="s">
        <v>158</v>
      </c>
      <c r="F25" s="7">
        <f>TorneosResults!F29</f>
        <v>68.333333333333329</v>
      </c>
      <c r="G25" s="7">
        <f>TorneosResults!G29</f>
        <v>51.25</v>
      </c>
      <c r="H25" s="7" t="s">
        <v>158</v>
      </c>
      <c r="I25" s="7" t="s">
        <v>158</v>
      </c>
      <c r="J25" s="7" t="s">
        <v>158</v>
      </c>
      <c r="K25" s="7">
        <f>TorneosResults!H29</f>
        <v>42.708333333333329</v>
      </c>
      <c r="L25" s="7">
        <f>TorneosResults!J29</f>
        <v>34.166666666666664</v>
      </c>
      <c r="M25" s="7">
        <f>TorneosResults!L29</f>
        <v>25.625</v>
      </c>
      <c r="N25" s="7" t="s">
        <v>158</v>
      </c>
      <c r="O25" s="7" t="s">
        <v>158</v>
      </c>
      <c r="P25" s="7">
        <v>0</v>
      </c>
      <c r="Q25" s="7" t="s">
        <v>158</v>
      </c>
      <c r="R25" s="7">
        <f>TorneosResults!L29</f>
        <v>25.625</v>
      </c>
      <c r="S25" s="7">
        <v>0</v>
      </c>
      <c r="T25" s="7" t="s">
        <v>158</v>
      </c>
      <c r="U25" s="7" t="s">
        <v>158</v>
      </c>
      <c r="V25" s="7" t="s">
        <v>158</v>
      </c>
      <c r="W25" s="7">
        <v>0</v>
      </c>
      <c r="X25" s="7" t="s">
        <v>158</v>
      </c>
    </row>
    <row r="26" spans="1:30" x14ac:dyDescent="0.25">
      <c r="A26" s="8" t="str">
        <f>TorneosScore!A6</f>
        <v>CoD2</v>
      </c>
      <c r="B26" s="7" t="s">
        <v>158</v>
      </c>
      <c r="C26" s="7">
        <f>TorneosResults!G30</f>
        <v>52.75</v>
      </c>
      <c r="D26" s="7" t="s">
        <v>158</v>
      </c>
      <c r="E26" s="7" t="s">
        <v>158</v>
      </c>
      <c r="F26" s="7">
        <f>TorneosResults!J30</f>
        <v>35.166666666666664</v>
      </c>
      <c r="G26" s="7">
        <f>TorneosResults!H30</f>
        <v>43.958333333333329</v>
      </c>
      <c r="H26" s="7" t="s">
        <v>158</v>
      </c>
      <c r="I26" s="7" t="s">
        <v>158</v>
      </c>
      <c r="J26" s="7" t="s">
        <v>158</v>
      </c>
      <c r="K26" s="7">
        <f>TorneosResults!J30</f>
        <v>35.166666666666664</v>
      </c>
      <c r="L26" s="7" t="s">
        <v>158</v>
      </c>
      <c r="M26" s="7">
        <f>TorneosResults!L30</f>
        <v>26.375</v>
      </c>
      <c r="N26" s="7" t="s">
        <v>158</v>
      </c>
      <c r="O26" s="7" t="s">
        <v>158</v>
      </c>
      <c r="P26" s="7" t="s">
        <v>158</v>
      </c>
      <c r="Q26" s="7" t="s">
        <v>158</v>
      </c>
      <c r="R26" s="7" t="s">
        <v>158</v>
      </c>
      <c r="S26" s="7">
        <v>0</v>
      </c>
      <c r="T26" s="7" t="s">
        <v>158</v>
      </c>
      <c r="U26" s="7" t="s">
        <v>158</v>
      </c>
      <c r="V26" s="7" t="s">
        <v>158</v>
      </c>
      <c r="W26" s="7" t="s">
        <v>158</v>
      </c>
      <c r="X26" s="7" t="s">
        <v>158</v>
      </c>
    </row>
    <row r="27" spans="1:30" x14ac:dyDescent="0.25">
      <c r="A27" s="8" t="str">
        <f>TorneosScore!A7</f>
        <v>Flor</v>
      </c>
      <c r="B27" s="7">
        <f>TorneosResults!D31</f>
        <v>91.5</v>
      </c>
      <c r="C27" s="7">
        <f>TorneosResults!G31</f>
        <v>45.75</v>
      </c>
      <c r="D27" s="7" t="s">
        <v>158</v>
      </c>
      <c r="E27" s="7" t="s">
        <v>158</v>
      </c>
      <c r="F27" s="7">
        <f>TorneosResults!L31</f>
        <v>22.875</v>
      </c>
      <c r="G27" s="7" t="s">
        <v>158</v>
      </c>
      <c r="H27" s="7">
        <v>0</v>
      </c>
      <c r="I27" s="7" t="s">
        <v>158</v>
      </c>
      <c r="J27" s="7" t="s">
        <v>158</v>
      </c>
      <c r="K27" s="7">
        <f>TorneosResults!L31</f>
        <v>22.875</v>
      </c>
      <c r="L27" s="7">
        <f>TorneosResults!L31</f>
        <v>22.875</v>
      </c>
      <c r="M27" s="7" t="s">
        <v>158</v>
      </c>
      <c r="N27" s="7" t="s">
        <v>158</v>
      </c>
      <c r="O27" s="7" t="s">
        <v>158</v>
      </c>
      <c r="P27" s="7">
        <v>0</v>
      </c>
      <c r="Q27" s="7" t="s">
        <v>158</v>
      </c>
      <c r="R27" s="7">
        <v>0</v>
      </c>
      <c r="S27" s="7" t="s">
        <v>158</v>
      </c>
      <c r="T27" s="7" t="s">
        <v>158</v>
      </c>
      <c r="U27" s="7">
        <v>0</v>
      </c>
      <c r="V27" s="7" t="s">
        <v>158</v>
      </c>
      <c r="W27" s="7" t="s">
        <v>158</v>
      </c>
      <c r="X27" s="7" t="s">
        <v>158</v>
      </c>
    </row>
    <row r="28" spans="1:30" x14ac:dyDescent="0.25">
      <c r="A28" s="8" t="str">
        <f>TorneosScore!A8</f>
        <v>CoD1</v>
      </c>
      <c r="B28" s="7" t="s">
        <v>158</v>
      </c>
      <c r="C28" s="7" t="s">
        <v>158</v>
      </c>
      <c r="D28" s="7" t="s">
        <v>158</v>
      </c>
      <c r="E28" s="7">
        <f>TorneosResults!D32</f>
        <v>57.75</v>
      </c>
      <c r="F28" s="7">
        <f>TorneosResults!E32</f>
        <v>50.53125</v>
      </c>
      <c r="G28" s="7">
        <f>TorneosResults!G32</f>
        <v>36.09375</v>
      </c>
      <c r="H28" s="7">
        <f>TorneosResults!H32</f>
        <v>28.875</v>
      </c>
      <c r="I28" s="7">
        <f>TorneosResults!F32</f>
        <v>43.3125</v>
      </c>
      <c r="J28" s="7" t="s">
        <v>158</v>
      </c>
      <c r="K28" s="7" t="s">
        <v>158</v>
      </c>
      <c r="L28" s="7">
        <f>TorneosResults!J32</f>
        <v>14.4375</v>
      </c>
      <c r="M28" s="7" t="s">
        <v>158</v>
      </c>
      <c r="N28" s="7" t="s">
        <v>158</v>
      </c>
      <c r="O28" s="7" t="s">
        <v>158</v>
      </c>
      <c r="P28" s="7">
        <v>0</v>
      </c>
      <c r="Q28" s="7" t="s">
        <v>158</v>
      </c>
      <c r="R28" s="7">
        <v>0</v>
      </c>
      <c r="S28" s="7" t="s">
        <v>158</v>
      </c>
      <c r="T28" s="7" t="s">
        <v>158</v>
      </c>
      <c r="U28" s="7" t="s">
        <v>158</v>
      </c>
      <c r="V28" s="7" t="s">
        <v>158</v>
      </c>
      <c r="W28" s="7" t="s">
        <v>158</v>
      </c>
      <c r="X28" s="7" t="s">
        <v>158</v>
      </c>
    </row>
    <row r="29" spans="1:30" x14ac:dyDescent="0.25">
      <c r="A29" s="8" t="str">
        <f>TorneosScore!A9</f>
        <v>Champiñón</v>
      </c>
      <c r="B29" s="7" t="s">
        <v>158</v>
      </c>
      <c r="C29" s="7">
        <f>TorneosResults!F33</f>
        <v>66</v>
      </c>
      <c r="D29" s="7" t="s">
        <v>158</v>
      </c>
      <c r="E29" s="7" t="s">
        <v>158</v>
      </c>
      <c r="F29" s="7">
        <f>TorneosResults!G33</f>
        <v>49.5</v>
      </c>
      <c r="G29" s="7" t="s">
        <v>158</v>
      </c>
      <c r="H29" s="7">
        <f>TorneosResults!H33</f>
        <v>41.25</v>
      </c>
      <c r="I29" s="7" t="s">
        <v>158</v>
      </c>
      <c r="J29" s="7">
        <f>TorneosResults!H33</f>
        <v>41.25</v>
      </c>
      <c r="K29" s="7" t="s">
        <v>158</v>
      </c>
      <c r="L29" s="7">
        <f>TorneosResults!J33</f>
        <v>33</v>
      </c>
      <c r="M29" s="7" t="s">
        <v>158</v>
      </c>
      <c r="N29" s="7">
        <f>TorneosResults!L33</f>
        <v>24.75</v>
      </c>
      <c r="O29" s="7" t="s">
        <v>158</v>
      </c>
      <c r="P29" s="7">
        <f>TorneosResults!L33</f>
        <v>24.75</v>
      </c>
      <c r="Q29" s="7" t="s">
        <v>158</v>
      </c>
      <c r="R29" s="7" t="s">
        <v>158</v>
      </c>
      <c r="S29" s="7">
        <f>TorneosResults!L33</f>
        <v>24.75</v>
      </c>
      <c r="T29" s="7" t="s">
        <v>158</v>
      </c>
      <c r="U29" s="7" t="s">
        <v>158</v>
      </c>
      <c r="V29" s="7" t="s">
        <v>158</v>
      </c>
      <c r="W29" s="7">
        <v>0</v>
      </c>
      <c r="X29" s="7" t="s">
        <v>158</v>
      </c>
    </row>
    <row r="30" spans="1:30" x14ac:dyDescent="0.25">
      <c r="A30" s="8" t="str">
        <f>TorneosScore!A10</f>
        <v>TBO17</v>
      </c>
      <c r="B30" s="7">
        <f>TorneosResults!D34</f>
        <v>63</v>
      </c>
      <c r="C30" s="7">
        <f>TorneosResults!F34</f>
        <v>47.25</v>
      </c>
      <c r="D30" s="7" t="s">
        <v>158</v>
      </c>
      <c r="E30" s="7">
        <f>TorneosResults!E34</f>
        <v>55.125</v>
      </c>
      <c r="F30" s="7">
        <f>TorneosResults!H34</f>
        <v>31.5</v>
      </c>
      <c r="G30" s="7">
        <f>TorneosResults!G34</f>
        <v>39.375</v>
      </c>
      <c r="H30" s="7">
        <f>TorneosResults!J34</f>
        <v>15.75</v>
      </c>
      <c r="I30" s="7" t="s">
        <v>158</v>
      </c>
      <c r="J30" s="7" t="s">
        <v>158</v>
      </c>
      <c r="K30" s="7" t="s">
        <v>158</v>
      </c>
      <c r="L30" s="7" t="s">
        <v>158</v>
      </c>
      <c r="M30" s="7" t="s">
        <v>158</v>
      </c>
      <c r="N30" s="7">
        <v>0</v>
      </c>
      <c r="O30" s="7" t="s">
        <v>158</v>
      </c>
      <c r="P30" s="7" t="s">
        <v>158</v>
      </c>
      <c r="Q30" s="7">
        <f>TorneosResults!J34</f>
        <v>15.75</v>
      </c>
      <c r="R30" s="7">
        <v>0</v>
      </c>
      <c r="S30" s="7">
        <v>0</v>
      </c>
      <c r="T30" s="7" t="s">
        <v>158</v>
      </c>
      <c r="U30" s="7" t="s">
        <v>158</v>
      </c>
      <c r="V30" s="7" t="s">
        <v>158</v>
      </c>
      <c r="W30" s="7" t="s">
        <v>158</v>
      </c>
      <c r="X30" s="7" t="s">
        <v>158</v>
      </c>
    </row>
    <row r="31" spans="1:30" x14ac:dyDescent="0.25">
      <c r="A31" s="8" t="str">
        <f>TorneosScore!A11</f>
        <v>TBO16</v>
      </c>
      <c r="B31" s="7" t="s">
        <v>158</v>
      </c>
      <c r="C31" s="7">
        <f>TorneosResults!E35</f>
        <v>81.041666666666657</v>
      </c>
      <c r="D31" s="7" t="s">
        <v>158</v>
      </c>
      <c r="E31" s="7">
        <f>TorneosResults!J35</f>
        <v>32.416666666666664</v>
      </c>
      <c r="F31" s="7">
        <f>TorneosResults!H35</f>
        <v>40.520833333333329</v>
      </c>
      <c r="G31" s="7">
        <f>TorneosResults!L35</f>
        <v>24.3125</v>
      </c>
      <c r="H31" s="7">
        <f>TorneosResults!J35</f>
        <v>32.416666666666664</v>
      </c>
      <c r="I31" s="7">
        <f>TorneosResults!L35</f>
        <v>24.3125</v>
      </c>
      <c r="J31" s="7">
        <f>TorneosResults!L35</f>
        <v>24.3125</v>
      </c>
      <c r="K31" s="7" t="s">
        <v>158</v>
      </c>
      <c r="L31" s="7">
        <v>0</v>
      </c>
      <c r="M31" s="7" t="s">
        <v>158</v>
      </c>
      <c r="N31" s="7" t="s">
        <v>158</v>
      </c>
      <c r="O31" s="7" t="s">
        <v>158</v>
      </c>
      <c r="P31" s="7" t="s">
        <v>158</v>
      </c>
      <c r="Q31" s="7" t="s">
        <v>158</v>
      </c>
      <c r="R31" s="7">
        <v>0</v>
      </c>
      <c r="S31" s="7">
        <v>0</v>
      </c>
      <c r="T31" s="7" t="s">
        <v>158</v>
      </c>
      <c r="U31" s="7" t="s">
        <v>158</v>
      </c>
      <c r="V31" s="7" t="s">
        <v>158</v>
      </c>
      <c r="W31" s="7" t="s">
        <v>158</v>
      </c>
      <c r="X31" s="7" t="s">
        <v>158</v>
      </c>
    </row>
    <row r="32" spans="1:30" x14ac:dyDescent="0.25">
      <c r="A32" s="8" t="str">
        <f>TorneosScore!A12</f>
        <v>TBO15</v>
      </c>
      <c r="B32" s="7">
        <f>TorneosResults!F36</f>
        <v>76.666666666666671</v>
      </c>
      <c r="C32" s="7">
        <f>TorneosResults!H36</f>
        <v>47.916666666666671</v>
      </c>
      <c r="D32" s="7" t="s">
        <v>158</v>
      </c>
      <c r="E32" s="7">
        <f>TorneosResults!L36</f>
        <v>28.75</v>
      </c>
      <c r="F32" s="7">
        <f>TorneosResults!J36</f>
        <v>38.333333333333336</v>
      </c>
      <c r="G32" s="7">
        <f>TorneosResults!L36</f>
        <v>28.75</v>
      </c>
      <c r="H32" s="7">
        <f>TorneosResults!J36</f>
        <v>38.333333333333336</v>
      </c>
      <c r="I32" s="7" t="s">
        <v>158</v>
      </c>
      <c r="J32" s="7">
        <v>0</v>
      </c>
      <c r="K32" s="7" t="s">
        <v>158</v>
      </c>
      <c r="L32" s="7">
        <v>0</v>
      </c>
      <c r="M32" s="7" t="s">
        <v>158</v>
      </c>
      <c r="N32" s="7" t="s">
        <v>158</v>
      </c>
      <c r="O32" s="7">
        <v>0</v>
      </c>
      <c r="P32" s="7" t="s">
        <v>158</v>
      </c>
      <c r="Q32" s="7" t="s">
        <v>158</v>
      </c>
      <c r="R32" s="7">
        <v>0</v>
      </c>
      <c r="S32" s="7">
        <v>0</v>
      </c>
      <c r="T32" s="7" t="s">
        <v>158</v>
      </c>
      <c r="U32" s="7" t="s">
        <v>158</v>
      </c>
      <c r="V32" s="7" t="s">
        <v>158</v>
      </c>
      <c r="W32" s="7" t="s">
        <v>158</v>
      </c>
      <c r="X32" s="7" t="s">
        <v>158</v>
      </c>
    </row>
    <row r="33" spans="1:24" x14ac:dyDescent="0.25">
      <c r="A33" s="8" t="str">
        <f>TorneosScore!A13</f>
        <v>CR4</v>
      </c>
      <c r="B33" s="7" t="s">
        <v>158</v>
      </c>
      <c r="C33" s="7">
        <f>TorneosResults!D37</f>
        <v>42</v>
      </c>
      <c r="D33" s="7" t="s">
        <v>158</v>
      </c>
      <c r="E33" s="7" t="s">
        <v>158</v>
      </c>
      <c r="F33" s="7">
        <f>TorneosResults!E37</f>
        <v>28</v>
      </c>
      <c r="G33" s="7">
        <f>TorneosResults!F37</f>
        <v>14</v>
      </c>
      <c r="H33" s="7" t="s">
        <v>158</v>
      </c>
      <c r="I33" s="7" t="s">
        <v>158</v>
      </c>
      <c r="J33" s="7" t="s">
        <v>158</v>
      </c>
      <c r="K33" s="7" t="s">
        <v>158</v>
      </c>
      <c r="L33" s="7" t="s">
        <v>158</v>
      </c>
      <c r="M33" s="7" t="s">
        <v>158</v>
      </c>
      <c r="N33" s="7" t="s">
        <v>158</v>
      </c>
      <c r="O33" s="7" t="s">
        <v>158</v>
      </c>
      <c r="P33" s="7" t="s">
        <v>158</v>
      </c>
      <c r="Q33" s="7" t="s">
        <v>158</v>
      </c>
      <c r="R33" s="7" t="s">
        <v>158</v>
      </c>
      <c r="S33" s="7">
        <v>0</v>
      </c>
      <c r="T33" s="7" t="s">
        <v>158</v>
      </c>
      <c r="U33" s="7" t="s">
        <v>158</v>
      </c>
      <c r="V33" s="7" t="s">
        <v>158</v>
      </c>
      <c r="W33" s="7" t="s">
        <v>158</v>
      </c>
      <c r="X33" s="7" t="s">
        <v>158</v>
      </c>
    </row>
    <row r="34" spans="1:24" x14ac:dyDescent="0.25">
      <c r="A34" s="8" t="str">
        <f>TorneosScore!A14</f>
        <v>CR3</v>
      </c>
      <c r="B34" s="7" t="s">
        <v>158</v>
      </c>
      <c r="C34" s="7" t="s">
        <v>158</v>
      </c>
      <c r="D34" s="7" t="s">
        <v>158</v>
      </c>
      <c r="E34" s="7" t="s">
        <v>158</v>
      </c>
      <c r="F34" s="7">
        <f>TorneosResults!D38</f>
        <v>52.5</v>
      </c>
      <c r="G34" s="7" t="s">
        <v>158</v>
      </c>
      <c r="H34" s="7">
        <f>TorneosResults!E38</f>
        <v>35</v>
      </c>
      <c r="I34" s="7" t="s">
        <v>158</v>
      </c>
      <c r="J34" s="7" t="s">
        <v>158</v>
      </c>
      <c r="K34" s="7" t="s">
        <v>158</v>
      </c>
      <c r="L34" s="7">
        <f>TorneosResults!F38</f>
        <v>17.5</v>
      </c>
      <c r="M34" s="7" t="s">
        <v>158</v>
      </c>
      <c r="N34" s="7" t="s">
        <v>158</v>
      </c>
      <c r="O34" s="7" t="s">
        <v>158</v>
      </c>
      <c r="P34" s="7" t="s">
        <v>158</v>
      </c>
      <c r="Q34" s="7" t="s">
        <v>158</v>
      </c>
      <c r="R34" s="7" t="s">
        <v>158</v>
      </c>
      <c r="S34" s="7">
        <v>0</v>
      </c>
      <c r="T34" s="7" t="s">
        <v>158</v>
      </c>
      <c r="U34" s="7" t="s">
        <v>158</v>
      </c>
      <c r="V34" s="7" t="s">
        <v>158</v>
      </c>
      <c r="W34" s="7" t="s">
        <v>158</v>
      </c>
      <c r="X34" s="7" t="s">
        <v>158</v>
      </c>
    </row>
    <row r="35" spans="1:24" x14ac:dyDescent="0.25">
      <c r="A35" s="8" t="str">
        <f>TorneosScore!A15</f>
        <v>TBO14</v>
      </c>
      <c r="B35" s="7" t="s">
        <v>158</v>
      </c>
      <c r="C35" s="7">
        <f>TorneosResults!E39</f>
        <v>72.916666666666671</v>
      </c>
      <c r="D35" s="7">
        <f>TorneosResults!D39</f>
        <v>87.5</v>
      </c>
      <c r="E35" s="7" t="s">
        <v>158</v>
      </c>
      <c r="F35" s="7">
        <f>TorneosResults!F39</f>
        <v>58.333333333333336</v>
      </c>
      <c r="G35" s="7">
        <f>TorneosResults!J39</f>
        <v>29.166666666666668</v>
      </c>
      <c r="H35" s="7">
        <f>TorneosResults!G39</f>
        <v>43.75</v>
      </c>
      <c r="I35" s="7" t="s">
        <v>158</v>
      </c>
      <c r="J35" s="7">
        <f>TorneosResults!H39</f>
        <v>36.458333333333336</v>
      </c>
      <c r="K35" s="7" t="s">
        <v>158</v>
      </c>
      <c r="L35" s="7">
        <f>TorneosResults!L39</f>
        <v>21.875</v>
      </c>
      <c r="M35" s="7" t="s">
        <v>158</v>
      </c>
      <c r="N35" s="7" t="s">
        <v>158</v>
      </c>
      <c r="O35" s="7">
        <f>TorneosResults!L39</f>
        <v>21.875</v>
      </c>
      <c r="P35" s="7" t="s">
        <v>158</v>
      </c>
      <c r="Q35" s="7">
        <f>TorneosResults!J39</f>
        <v>29.166666666666668</v>
      </c>
      <c r="R35" s="7">
        <v>0</v>
      </c>
      <c r="S35" s="7">
        <v>0</v>
      </c>
      <c r="T35" s="7">
        <f>TorneosResults!L39</f>
        <v>21.875</v>
      </c>
      <c r="U35" s="7">
        <v>0</v>
      </c>
      <c r="V35" s="7" t="s">
        <v>158</v>
      </c>
      <c r="W35" s="7" t="s">
        <v>158</v>
      </c>
      <c r="X35" s="7">
        <f>TorneosResults!H39</f>
        <v>36.458333333333336</v>
      </c>
    </row>
    <row r="36" spans="1:24" x14ac:dyDescent="0.25">
      <c r="A36" s="8" t="str">
        <f>TorneosScore!A16</f>
        <v>CR2</v>
      </c>
      <c r="B36" s="7" t="s">
        <v>158</v>
      </c>
      <c r="C36" s="7">
        <f>TorneosResults!E40</f>
        <v>49</v>
      </c>
      <c r="D36" s="7">
        <f>TorneosResults!D40</f>
        <v>73.5</v>
      </c>
      <c r="E36" s="7" t="s">
        <v>158</v>
      </c>
      <c r="F36" s="7">
        <f>TorneosResults!F40</f>
        <v>24.5</v>
      </c>
      <c r="G36" s="7">
        <v>0</v>
      </c>
      <c r="H36" s="7" t="s">
        <v>158</v>
      </c>
      <c r="I36" s="7" t="s">
        <v>158</v>
      </c>
      <c r="J36" s="7" t="s">
        <v>158</v>
      </c>
      <c r="K36" s="7" t="s">
        <v>158</v>
      </c>
      <c r="L36" s="7" t="s">
        <v>158</v>
      </c>
      <c r="M36" s="7" t="s">
        <v>158</v>
      </c>
      <c r="N36" s="7" t="s">
        <v>158</v>
      </c>
      <c r="O36" s="7" t="s">
        <v>158</v>
      </c>
      <c r="P36" s="7" t="s">
        <v>158</v>
      </c>
      <c r="Q36" s="7" t="s">
        <v>158</v>
      </c>
      <c r="R36" s="7" t="s">
        <v>158</v>
      </c>
      <c r="S36" s="7">
        <v>0</v>
      </c>
      <c r="T36" s="7" t="s">
        <v>158</v>
      </c>
      <c r="U36" s="7" t="s">
        <v>158</v>
      </c>
      <c r="V36" s="7" t="s">
        <v>158</v>
      </c>
      <c r="W36" s="7" t="s">
        <v>158</v>
      </c>
      <c r="X36" s="7">
        <v>0</v>
      </c>
    </row>
    <row r="37" spans="1:24" x14ac:dyDescent="0.25">
      <c r="A37" s="8" t="str">
        <f>TorneosScore!A17</f>
        <v>CR1</v>
      </c>
      <c r="B37" s="7" t="s">
        <v>158</v>
      </c>
      <c r="C37" s="7" t="s">
        <v>158</v>
      </c>
      <c r="D37" s="7">
        <f>TorneosResults!D41</f>
        <v>52.5</v>
      </c>
      <c r="E37" s="7" t="s">
        <v>158</v>
      </c>
      <c r="F37" s="7">
        <v>0</v>
      </c>
      <c r="G37" s="7">
        <f>TorneosResults!F41</f>
        <v>17.5</v>
      </c>
      <c r="H37" s="7" t="s">
        <v>158</v>
      </c>
      <c r="I37" s="7">
        <f>TorneosResults!E41</f>
        <v>35</v>
      </c>
      <c r="J37" s="7" t="s">
        <v>158</v>
      </c>
      <c r="K37" s="7" t="s">
        <v>158</v>
      </c>
      <c r="L37" s="7" t="s">
        <v>158</v>
      </c>
      <c r="M37" s="7" t="s">
        <v>158</v>
      </c>
      <c r="N37" s="7" t="s">
        <v>158</v>
      </c>
      <c r="O37" s="7" t="s">
        <v>158</v>
      </c>
      <c r="P37" s="7" t="s">
        <v>158</v>
      </c>
      <c r="Q37" s="7" t="s">
        <v>158</v>
      </c>
      <c r="R37" s="7" t="s">
        <v>158</v>
      </c>
      <c r="S37" s="7">
        <v>0</v>
      </c>
      <c r="T37" s="7" t="s">
        <v>158</v>
      </c>
      <c r="U37" s="7" t="s">
        <v>158</v>
      </c>
      <c r="V37" s="7" t="s">
        <v>158</v>
      </c>
      <c r="W37" s="7" t="s">
        <v>158</v>
      </c>
      <c r="X37" s="7" t="s">
        <v>158</v>
      </c>
    </row>
    <row r="38" spans="1:24" x14ac:dyDescent="0.25">
      <c r="A38" s="8" t="str">
        <f>TorneosScore!A18</f>
        <v>TBO13</v>
      </c>
      <c r="B38" s="7" t="s">
        <v>158</v>
      </c>
      <c r="C38" s="7">
        <f>TorneosResults!H42</f>
        <v>44.0625</v>
      </c>
      <c r="D38" s="7">
        <f>TorneosResults!F42</f>
        <v>70.5</v>
      </c>
      <c r="E38" s="7" t="s">
        <v>158</v>
      </c>
      <c r="F38" s="7">
        <f>TorneosResults!E42</f>
        <v>88.125</v>
      </c>
      <c r="G38" s="7">
        <f>TorneosResults!L42</f>
        <v>26.4375</v>
      </c>
      <c r="H38" s="7">
        <f>TorneosResults!G42</f>
        <v>52.875</v>
      </c>
      <c r="I38" s="7">
        <v>0</v>
      </c>
      <c r="J38" s="7">
        <f>TorneosResults!J42</f>
        <v>35.25</v>
      </c>
      <c r="K38" s="7">
        <f>TorneosResults!L42</f>
        <v>26.4375</v>
      </c>
      <c r="L38" s="7">
        <f>TorneosResults!L42</f>
        <v>26.4375</v>
      </c>
      <c r="M38" s="7" t="s">
        <v>158</v>
      </c>
      <c r="N38" s="7" t="s">
        <v>158</v>
      </c>
      <c r="O38" s="7" t="s">
        <v>158</v>
      </c>
      <c r="P38" s="7" t="s">
        <v>158</v>
      </c>
      <c r="Q38" s="7">
        <v>0</v>
      </c>
      <c r="R38" s="7" t="s">
        <v>158</v>
      </c>
      <c r="S38" s="7">
        <v>0</v>
      </c>
      <c r="T38" s="7">
        <v>0</v>
      </c>
      <c r="U38" s="7" t="s">
        <v>158</v>
      </c>
      <c r="V38" s="7" t="s">
        <v>158</v>
      </c>
      <c r="W38" s="7">
        <v>0</v>
      </c>
      <c r="X38" s="7" t="s">
        <v>158</v>
      </c>
    </row>
    <row r="39" spans="1:24" x14ac:dyDescent="0.25">
      <c r="A39" s="8" t="str">
        <f>TorneosScore!A19</f>
        <v>TBO12</v>
      </c>
      <c r="B39" s="7">
        <f>TorneosResults!D43</f>
        <v>73.5</v>
      </c>
      <c r="C39" s="7" t="s">
        <v>158</v>
      </c>
      <c r="D39" s="7">
        <f>TorneosResults!E43</f>
        <v>49</v>
      </c>
      <c r="E39" s="7" t="s">
        <v>158</v>
      </c>
      <c r="F39" s="7" t="s">
        <v>158</v>
      </c>
      <c r="G39" s="7">
        <v>0</v>
      </c>
      <c r="H39" s="7">
        <f>TorneosResults!F43</f>
        <v>24.5</v>
      </c>
      <c r="I39" s="7" t="s">
        <v>158</v>
      </c>
      <c r="J39" s="7" t="s">
        <v>158</v>
      </c>
      <c r="K39" s="7" t="s">
        <v>158</v>
      </c>
      <c r="L39" s="7">
        <v>0</v>
      </c>
      <c r="M39" s="7" t="s">
        <v>158</v>
      </c>
      <c r="N39" s="7" t="s">
        <v>158</v>
      </c>
      <c r="O39" s="7" t="s">
        <v>158</v>
      </c>
      <c r="P39" s="7" t="s">
        <v>158</v>
      </c>
      <c r="Q39" s="7">
        <v>0</v>
      </c>
      <c r="R39" s="7" t="s">
        <v>158</v>
      </c>
      <c r="S39" s="7" t="s">
        <v>158</v>
      </c>
      <c r="T39" s="7" t="s">
        <v>158</v>
      </c>
      <c r="U39" s="7" t="s">
        <v>158</v>
      </c>
      <c r="V39" s="7" t="s">
        <v>158</v>
      </c>
      <c r="W39" s="7" t="s">
        <v>158</v>
      </c>
      <c r="X39" s="7" t="s">
        <v>158</v>
      </c>
    </row>
    <row r="41" spans="1:24" x14ac:dyDescent="0.25">
      <c r="B41" s="7">
        <f>B23</f>
        <v>99.5</v>
      </c>
      <c r="C41" s="7">
        <f>C25</f>
        <v>102.5</v>
      </c>
      <c r="D41" s="7">
        <f>D35</f>
        <v>87.5</v>
      </c>
      <c r="E41" s="7">
        <f>E28</f>
        <v>57.75</v>
      </c>
      <c r="F41" s="7">
        <f>F38</f>
        <v>88.125</v>
      </c>
      <c r="G41" s="7">
        <f>G23</f>
        <v>66.333333333333329</v>
      </c>
      <c r="H41" s="7">
        <f>H38</f>
        <v>52.875</v>
      </c>
      <c r="I41" s="7">
        <f>I28</f>
        <v>43.3125</v>
      </c>
      <c r="J41" s="7">
        <f>J29</f>
        <v>41.25</v>
      </c>
      <c r="K41" s="7">
        <f>K25</f>
        <v>42.708333333333329</v>
      </c>
      <c r="L41" s="7">
        <f>L25</f>
        <v>34.166666666666664</v>
      </c>
      <c r="M41" s="7">
        <f>M23</f>
        <v>33.166666666666664</v>
      </c>
      <c r="N41" s="7">
        <f>N23</f>
        <v>24.875</v>
      </c>
      <c r="O41" s="7">
        <f>O22</f>
        <v>26.375</v>
      </c>
      <c r="P41" s="7">
        <f>P23</f>
        <v>24.875</v>
      </c>
      <c r="Q41" s="7">
        <f>Q35</f>
        <v>29.166666666666668</v>
      </c>
      <c r="R41" s="7">
        <f>R22</f>
        <v>26.375</v>
      </c>
      <c r="S41" s="7">
        <f>S29</f>
        <v>24.75</v>
      </c>
      <c r="T41" s="7">
        <f>T35</f>
        <v>21.875</v>
      </c>
      <c r="U41" s="7">
        <v>0</v>
      </c>
      <c r="V41" s="7">
        <v>0</v>
      </c>
      <c r="W41" s="7">
        <v>0</v>
      </c>
      <c r="X41" s="7">
        <f>X35</f>
        <v>36.458333333333336</v>
      </c>
    </row>
    <row r="42" spans="1:24" x14ac:dyDescent="0.25">
      <c r="B42" s="7">
        <f>B27</f>
        <v>91.5</v>
      </c>
      <c r="C42" s="7">
        <f>C23</f>
        <v>82.916666666666657</v>
      </c>
      <c r="D42" s="7">
        <f>D36</f>
        <v>73.5</v>
      </c>
      <c r="E42" s="7">
        <f>E30</f>
        <v>55.125</v>
      </c>
      <c r="F42" s="7">
        <f>F25</f>
        <v>68.333333333333329</v>
      </c>
      <c r="G42" s="7">
        <f>G25</f>
        <v>51.25</v>
      </c>
      <c r="H42" s="7">
        <f>H35</f>
        <v>43.75</v>
      </c>
      <c r="I42" s="7">
        <f>I37</f>
        <v>35</v>
      </c>
      <c r="J42" s="7">
        <f>J35</f>
        <v>36.458333333333336</v>
      </c>
      <c r="K42" s="7">
        <f>K23</f>
        <v>41.458333333333329</v>
      </c>
      <c r="L42" s="7">
        <f>L29</f>
        <v>33</v>
      </c>
      <c r="M42" s="7">
        <f>M26</f>
        <v>26.375</v>
      </c>
      <c r="N42" s="7">
        <f>N29</f>
        <v>24.75</v>
      </c>
      <c r="O42" s="7">
        <f>O23</f>
        <v>24.875</v>
      </c>
      <c r="P42" s="7">
        <f>P29</f>
        <v>24.75</v>
      </c>
      <c r="Q42" s="7">
        <f>Q30</f>
        <v>15.75</v>
      </c>
      <c r="R42" s="7">
        <f>R25</f>
        <v>25.625</v>
      </c>
      <c r="S42" s="7"/>
      <c r="T42" s="7"/>
      <c r="U42" s="7"/>
      <c r="V42" s="7"/>
      <c r="W42" s="7"/>
      <c r="X42" s="7"/>
    </row>
    <row r="43" spans="1:24" x14ac:dyDescent="0.25">
      <c r="B43" s="7">
        <f>B32</f>
        <v>76.666666666666671</v>
      </c>
      <c r="C43" s="7">
        <f>C31</f>
        <v>81.041666666666657</v>
      </c>
      <c r="D43" s="7">
        <f>D38</f>
        <v>70.5</v>
      </c>
      <c r="E43" s="7">
        <f>E24</f>
        <v>49.666666666666664</v>
      </c>
      <c r="F43" s="7">
        <f>F35</f>
        <v>58.333333333333336</v>
      </c>
      <c r="G43" s="7">
        <f>G26</f>
        <v>43.958333333333329</v>
      </c>
      <c r="H43" s="7">
        <f>H29</f>
        <v>41.25</v>
      </c>
      <c r="I43" s="7">
        <f>I31</f>
        <v>24.3125</v>
      </c>
      <c r="J43" s="7">
        <f>J38</f>
        <v>35.25</v>
      </c>
      <c r="K43" s="7">
        <f>K24</f>
        <v>37.25</v>
      </c>
      <c r="L43" s="7">
        <f>L38</f>
        <v>26.4375</v>
      </c>
      <c r="M43" s="7">
        <f>M25</f>
        <v>25.625</v>
      </c>
      <c r="N43" s="7"/>
      <c r="O43" s="7">
        <f>O35</f>
        <v>21.875</v>
      </c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5">
      <c r="B44" s="7">
        <f>B39</f>
        <v>73.5</v>
      </c>
      <c r="C44" s="7">
        <f>C35</f>
        <v>72.916666666666671</v>
      </c>
      <c r="D44" s="7">
        <f>D37</f>
        <v>52.5</v>
      </c>
      <c r="E44" s="7">
        <f>E22</f>
        <v>43.958333333333329</v>
      </c>
      <c r="F44" s="7">
        <f>F34</f>
        <v>52.5</v>
      </c>
      <c r="G44" s="7">
        <f>G30</f>
        <v>39.375</v>
      </c>
      <c r="H44" s="7">
        <f>H32</f>
        <v>38.333333333333336</v>
      </c>
      <c r="I44" s="7"/>
      <c r="J44" s="7">
        <v>24.3125</v>
      </c>
      <c r="K44" s="7">
        <f>K26</f>
        <v>35.166666666666664</v>
      </c>
      <c r="L44" s="7">
        <f>L23</f>
        <v>24.875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5">
      <c r="B45" s="9">
        <f>B30</f>
        <v>63</v>
      </c>
      <c r="C45" s="9">
        <f>C22</f>
        <v>70.333333333333329</v>
      </c>
      <c r="D45" s="9">
        <f>D39</f>
        <v>49</v>
      </c>
      <c r="E45" s="9">
        <f>E23</f>
        <v>41.458333333333329</v>
      </c>
      <c r="F45" s="9">
        <f>F28</f>
        <v>50.53125</v>
      </c>
      <c r="G45" s="9">
        <f>G24</f>
        <v>37.25</v>
      </c>
      <c r="H45" s="10">
        <f>H34</f>
        <v>35</v>
      </c>
      <c r="I45" s="9"/>
      <c r="J45" s="9"/>
      <c r="K45" s="9">
        <f>K38</f>
        <v>26.4375</v>
      </c>
      <c r="L45" s="9">
        <f>L27</f>
        <v>22.875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x14ac:dyDescent="0.25">
      <c r="B46" s="7"/>
      <c r="C46" s="7"/>
      <c r="D46" s="7"/>
      <c r="E46" s="7"/>
      <c r="F46" s="7">
        <f>F23</f>
        <v>49.75</v>
      </c>
      <c r="G46" s="7">
        <f>G28</f>
        <v>36.09375</v>
      </c>
      <c r="H46" s="7">
        <f>H23</f>
        <v>33.166666666666664</v>
      </c>
      <c r="I46" s="7"/>
      <c r="J46" s="7"/>
      <c r="K46" s="7">
        <f>K27</f>
        <v>22.875</v>
      </c>
      <c r="L46" s="7">
        <f>L35</f>
        <v>21.875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5">
      <c r="A47" s="10"/>
      <c r="B47" s="9"/>
      <c r="C47" s="9"/>
      <c r="D47" s="9"/>
      <c r="E47" s="9"/>
      <c r="F47" s="9">
        <f>F29</f>
        <v>49.5</v>
      </c>
      <c r="G47" s="9">
        <f>G22</f>
        <v>35.166666666666664</v>
      </c>
      <c r="H47" s="9">
        <f>H31</f>
        <v>32.416666666666664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x14ac:dyDescent="0.25">
      <c r="A48" s="11" t="s">
        <v>160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x14ac:dyDescent="0.25">
      <c r="A49" t="s">
        <v>136</v>
      </c>
      <c r="B49" s="7">
        <f t="shared" ref="B49:X49" si="0">B41+B42+B43+B44+B45</f>
        <v>404.16666666666669</v>
      </c>
      <c r="C49" s="7">
        <f t="shared" si="0"/>
        <v>409.70833333333331</v>
      </c>
      <c r="D49" s="7">
        <f t="shared" si="0"/>
        <v>333</v>
      </c>
      <c r="E49" s="7">
        <f t="shared" si="0"/>
        <v>247.95833333333331</v>
      </c>
      <c r="F49" s="7">
        <f t="shared" si="0"/>
        <v>317.82291666666663</v>
      </c>
      <c r="G49" s="7">
        <f t="shared" si="0"/>
        <v>238.16666666666666</v>
      </c>
      <c r="H49" s="7">
        <f>H41+H42+H43+H44+H45</f>
        <v>211.20833333333334</v>
      </c>
      <c r="I49" s="7">
        <f t="shared" si="0"/>
        <v>102.625</v>
      </c>
      <c r="J49" s="7">
        <f>J41+J42+J43+J44+J45</f>
        <v>137.27083333333334</v>
      </c>
      <c r="K49" s="7">
        <f t="shared" si="0"/>
        <v>183.02083333333331</v>
      </c>
      <c r="L49" s="7">
        <f t="shared" si="0"/>
        <v>141.35416666666666</v>
      </c>
      <c r="M49" s="7">
        <f t="shared" si="0"/>
        <v>85.166666666666657</v>
      </c>
      <c r="N49" s="7">
        <f t="shared" si="0"/>
        <v>49.625</v>
      </c>
      <c r="O49" s="7">
        <f t="shared" si="0"/>
        <v>73.125</v>
      </c>
      <c r="P49" s="7">
        <f t="shared" si="0"/>
        <v>49.625</v>
      </c>
      <c r="Q49" s="7">
        <f t="shared" si="0"/>
        <v>44.916666666666671</v>
      </c>
      <c r="R49" s="7">
        <f t="shared" si="0"/>
        <v>52</v>
      </c>
      <c r="S49" s="7">
        <f t="shared" si="0"/>
        <v>24.75</v>
      </c>
      <c r="T49" s="7">
        <f t="shared" si="0"/>
        <v>21.875</v>
      </c>
      <c r="U49" s="7">
        <f t="shared" si="0"/>
        <v>0</v>
      </c>
      <c r="V49" s="7">
        <f t="shared" si="0"/>
        <v>0</v>
      </c>
      <c r="W49" s="7">
        <f t="shared" si="0"/>
        <v>0</v>
      </c>
      <c r="X49" s="7">
        <f t="shared" si="0"/>
        <v>36.458333333333336</v>
      </c>
    </row>
    <row r="51" spans="1:24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</sheetData>
  <sortState xmlns:xlrd2="http://schemas.microsoft.com/office/spreadsheetml/2017/richdata2" ref="C41:C58">
    <sortCondition descending="1" ref="C41:C5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A6B2-E9AD-4DE1-A3FC-FF4AFB7E8B7A}">
  <dimension ref="A1:B23"/>
  <sheetViews>
    <sheetView workbookViewId="0">
      <selection activeCell="B23" sqref="B23"/>
    </sheetView>
  </sheetViews>
  <sheetFormatPr baseColWidth="10" defaultRowHeight="15" x14ac:dyDescent="0.25"/>
  <sheetData>
    <row r="1" spans="1:2" x14ac:dyDescent="0.25">
      <c r="A1" t="s">
        <v>0</v>
      </c>
      <c r="B1">
        <v>6504</v>
      </c>
    </row>
    <row r="2" spans="1:2" x14ac:dyDescent="0.25">
      <c r="A2" t="s">
        <v>1</v>
      </c>
      <c r="B2">
        <v>5971</v>
      </c>
    </row>
    <row r="3" spans="1:2" x14ac:dyDescent="0.25">
      <c r="A3" t="s">
        <v>2</v>
      </c>
      <c r="B3">
        <v>5498</v>
      </c>
    </row>
    <row r="4" spans="1:2" x14ac:dyDescent="0.25">
      <c r="A4" t="s">
        <v>3</v>
      </c>
      <c r="B4">
        <v>5277</v>
      </c>
    </row>
    <row r="5" spans="1:2" x14ac:dyDescent="0.25">
      <c r="A5" t="s">
        <v>4</v>
      </c>
      <c r="B5">
        <v>5180</v>
      </c>
    </row>
    <row r="6" spans="1:2" x14ac:dyDescent="0.25">
      <c r="A6" t="s">
        <v>5</v>
      </c>
      <c r="B6">
        <v>4665</v>
      </c>
    </row>
    <row r="7" spans="1:2" x14ac:dyDescent="0.25">
      <c r="A7" t="s">
        <v>6</v>
      </c>
      <c r="B7">
        <v>4222</v>
      </c>
    </row>
    <row r="8" spans="1:2" x14ac:dyDescent="0.25">
      <c r="A8" t="s">
        <v>7</v>
      </c>
      <c r="B8">
        <v>4157</v>
      </c>
    </row>
    <row r="9" spans="1:2" x14ac:dyDescent="0.25">
      <c r="A9" t="s">
        <v>8</v>
      </c>
      <c r="B9">
        <v>3665</v>
      </c>
    </row>
    <row r="10" spans="1:2" x14ac:dyDescent="0.25">
      <c r="A10" t="s">
        <v>9</v>
      </c>
      <c r="B10">
        <v>3595</v>
      </c>
    </row>
    <row r="11" spans="1:2" x14ac:dyDescent="0.25">
      <c r="A11" t="s">
        <v>10</v>
      </c>
      <c r="B11">
        <v>2772</v>
      </c>
    </row>
    <row r="12" spans="1:2" x14ac:dyDescent="0.25">
      <c r="A12" t="s">
        <v>11</v>
      </c>
      <c r="B12">
        <v>2637</v>
      </c>
    </row>
    <row r="13" spans="1:2" x14ac:dyDescent="0.25">
      <c r="A13" t="s">
        <v>12</v>
      </c>
      <c r="B13">
        <v>2609</v>
      </c>
    </row>
    <row r="14" spans="1:2" x14ac:dyDescent="0.25">
      <c r="A14" t="s">
        <v>13</v>
      </c>
      <c r="B14">
        <v>2240</v>
      </c>
    </row>
    <row r="15" spans="1:2" x14ac:dyDescent="0.25">
      <c r="A15" t="s">
        <v>14</v>
      </c>
      <c r="B15">
        <v>2173</v>
      </c>
    </row>
    <row r="16" spans="1:2" x14ac:dyDescent="0.25">
      <c r="A16" t="s">
        <v>15</v>
      </c>
      <c r="B16">
        <v>1923</v>
      </c>
    </row>
    <row r="17" spans="1:2" x14ac:dyDescent="0.25">
      <c r="A17" t="s">
        <v>16</v>
      </c>
      <c r="B17">
        <v>1835</v>
      </c>
    </row>
    <row r="18" spans="1:2" x14ac:dyDescent="0.25">
      <c r="A18" t="s">
        <v>17</v>
      </c>
      <c r="B18">
        <v>1504</v>
      </c>
    </row>
    <row r="19" spans="1:2" x14ac:dyDescent="0.25">
      <c r="A19" t="s">
        <v>18</v>
      </c>
      <c r="B19">
        <v>1405</v>
      </c>
    </row>
    <row r="20" spans="1:2" x14ac:dyDescent="0.25">
      <c r="A20" t="s">
        <v>19</v>
      </c>
      <c r="B20">
        <v>813</v>
      </c>
    </row>
    <row r="21" spans="1:2" x14ac:dyDescent="0.25">
      <c r="A21" t="s">
        <v>20</v>
      </c>
      <c r="B21">
        <v>64</v>
      </c>
    </row>
    <row r="22" spans="1:2" x14ac:dyDescent="0.25">
      <c r="A22" t="s">
        <v>21</v>
      </c>
      <c r="B22">
        <v>0</v>
      </c>
    </row>
    <row r="23" spans="1:2" x14ac:dyDescent="0.25">
      <c r="A23" t="s">
        <v>159</v>
      </c>
      <c r="B23">
        <v>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Ranking</vt:lpstr>
      <vt:lpstr>TorneosScore</vt:lpstr>
      <vt:lpstr>TorneosResults</vt:lpstr>
      <vt:lpstr>PlayerResults</vt:lpstr>
      <vt:lpstr>PuntosBraacket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Centeno González</dc:creator>
  <cp:lastModifiedBy>Vicente Centeno González</cp:lastModifiedBy>
  <dcterms:created xsi:type="dcterms:W3CDTF">2023-12-24T18:31:58Z</dcterms:created>
  <dcterms:modified xsi:type="dcterms:W3CDTF">2024-01-06T18:13:01Z</dcterms:modified>
</cp:coreProperties>
</file>