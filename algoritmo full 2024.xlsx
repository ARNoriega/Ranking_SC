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tu\Desktop\smash\rank 2024\"/>
    </mc:Choice>
  </mc:AlternateContent>
  <xr:revisionPtr revIDLastSave="0" documentId="13_ncr:1_{8D38F851-79A3-41FB-A2DC-FC1B300E1AFA}" xr6:coauthVersionLast="47" xr6:coauthVersionMax="47" xr10:uidLastSave="{00000000-0000-0000-0000-000000000000}"/>
  <bookViews>
    <workbookView xWindow="-120" yWindow="-120" windowWidth="29040" windowHeight="15720" xr2:uid="{4719CBA9-2632-43B1-98FE-1FB9EBC16DDD}"/>
  </bookViews>
  <sheets>
    <sheet name="Ranking" sheetId="1" r:id="rId1"/>
    <sheet name="TorneosScore" sheetId="3" r:id="rId2"/>
    <sheet name="TorneosResults" sheetId="4" r:id="rId3"/>
    <sheet name="PlayerResults" sheetId="5" r:id="rId4"/>
    <sheet name="PuntosBraacke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C69" i="5"/>
  <c r="D69" i="5"/>
  <c r="E69" i="5"/>
  <c r="F69" i="5"/>
  <c r="G69" i="5"/>
  <c r="H69" i="5"/>
  <c r="I69" i="5"/>
  <c r="J69" i="5"/>
  <c r="K69" i="5"/>
  <c r="O9" i="1" s="1"/>
  <c r="L69" i="5"/>
  <c r="M69" i="5"/>
  <c r="O15" i="1" s="1"/>
  <c r="N69" i="5"/>
  <c r="O21" i="1" s="1"/>
  <c r="O69" i="5"/>
  <c r="O14" i="1" s="1"/>
  <c r="P69" i="5"/>
  <c r="O20" i="1" s="1"/>
  <c r="Q69" i="5"/>
  <c r="O16" i="1" s="1"/>
  <c r="R69" i="5"/>
  <c r="O19" i="1" s="1"/>
  <c r="S69" i="5"/>
  <c r="T69" i="5"/>
  <c r="U69" i="5"/>
  <c r="O18" i="1" s="1"/>
  <c r="V69" i="5"/>
  <c r="W69" i="5"/>
  <c r="O7" i="1"/>
  <c r="O8" i="1"/>
  <c r="O5" i="1"/>
  <c r="B69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B72" i="5"/>
  <c r="O23" i="1"/>
  <c r="O22" i="1"/>
  <c r="O17" i="1"/>
  <c r="O13" i="1"/>
  <c r="O12" i="1"/>
  <c r="O11" i="1"/>
  <c r="O10" i="1"/>
  <c r="O6" i="1"/>
  <c r="O4" i="1"/>
  <c r="W43" i="5"/>
  <c r="W42" i="5"/>
  <c r="W41" i="5"/>
  <c r="W40" i="5"/>
  <c r="W39" i="5"/>
  <c r="W38" i="5"/>
  <c r="W37" i="5"/>
  <c r="W34" i="5"/>
  <c r="U44" i="5"/>
  <c r="U43" i="5"/>
  <c r="U42" i="5"/>
  <c r="U41" i="5"/>
  <c r="U40" i="5"/>
  <c r="U39" i="5"/>
  <c r="U38" i="5"/>
  <c r="U37" i="5"/>
  <c r="U35" i="5"/>
  <c r="U34" i="5"/>
  <c r="S35" i="5"/>
  <c r="R44" i="5"/>
  <c r="R42" i="5"/>
  <c r="R41" i="5"/>
  <c r="R38" i="5"/>
  <c r="Q44" i="5"/>
  <c r="Q43" i="5"/>
  <c r="Q42" i="5"/>
  <c r="Q41" i="5"/>
  <c r="Q38" i="5"/>
  <c r="Q37" i="5"/>
  <c r="Q35" i="5"/>
  <c r="Q34" i="5"/>
  <c r="P43" i="5"/>
  <c r="P42" i="5"/>
  <c r="P41" i="5"/>
  <c r="P40" i="5"/>
  <c r="P39" i="5"/>
  <c r="P37" i="5"/>
  <c r="O44" i="5"/>
  <c r="O43" i="5"/>
  <c r="O42" i="5"/>
  <c r="O40" i="5"/>
  <c r="O39" i="5"/>
  <c r="O38" i="5"/>
  <c r="O37" i="5"/>
  <c r="O36" i="5"/>
  <c r="O35" i="5"/>
  <c r="O34" i="5"/>
  <c r="N40" i="5"/>
  <c r="N39" i="5"/>
  <c r="N38" i="5"/>
  <c r="M37" i="5"/>
  <c r="M36" i="5"/>
  <c r="L44" i="5"/>
  <c r="L43" i="5"/>
  <c r="L42" i="5"/>
  <c r="L40" i="5"/>
  <c r="L39" i="5"/>
  <c r="L38" i="5"/>
  <c r="L37" i="5"/>
  <c r="L35" i="5"/>
  <c r="K42" i="5"/>
  <c r="K40" i="5"/>
  <c r="K38" i="5"/>
  <c r="K36" i="5"/>
  <c r="J43" i="5"/>
  <c r="J42" i="5"/>
  <c r="J41" i="5"/>
  <c r="J39" i="5"/>
  <c r="J38" i="5"/>
  <c r="J37" i="5"/>
  <c r="J36" i="5"/>
  <c r="J34" i="5"/>
  <c r="I44" i="5"/>
  <c r="I40" i="5"/>
  <c r="I39" i="5"/>
  <c r="I38" i="5"/>
  <c r="I37" i="5"/>
  <c r="I36" i="5"/>
  <c r="I35" i="5"/>
  <c r="I34" i="5"/>
  <c r="H44" i="5"/>
  <c r="H43" i="5"/>
  <c r="H42" i="5"/>
  <c r="H41" i="5"/>
  <c r="H40" i="5"/>
  <c r="H39" i="5"/>
  <c r="H38" i="5"/>
  <c r="H37" i="5"/>
  <c r="H36" i="5"/>
  <c r="H35" i="5"/>
  <c r="H34" i="5"/>
  <c r="G44" i="5"/>
  <c r="G43" i="5"/>
  <c r="G41" i="5"/>
  <c r="G40" i="5"/>
  <c r="G38" i="5"/>
  <c r="G37" i="5"/>
  <c r="G36" i="5"/>
  <c r="E44" i="5"/>
  <c r="E37" i="5"/>
  <c r="E36" i="5"/>
  <c r="E35" i="5"/>
  <c r="E34" i="5"/>
  <c r="D44" i="5"/>
  <c r="D41" i="5"/>
  <c r="D39" i="5"/>
  <c r="D37" i="5"/>
  <c r="D36" i="5"/>
  <c r="D35" i="5"/>
  <c r="D34" i="5"/>
  <c r="C42" i="5"/>
  <c r="B44" i="5"/>
  <c r="B42" i="5"/>
  <c r="B36" i="5"/>
  <c r="B35" i="5"/>
  <c r="Y11" i="4"/>
  <c r="Y12" i="4"/>
  <c r="Y13" i="4"/>
  <c r="Y14" i="4"/>
  <c r="Y15" i="4"/>
  <c r="Y16" i="4"/>
  <c r="Y17" i="4"/>
  <c r="Y18" i="4"/>
  <c r="Y19" i="4"/>
  <c r="Y20" i="4"/>
  <c r="Y10" i="4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3" i="1"/>
  <c r="A44" i="5"/>
  <c r="A43" i="5"/>
  <c r="A34" i="5"/>
  <c r="A35" i="5"/>
  <c r="A36" i="5"/>
  <c r="A37" i="5"/>
  <c r="A38" i="5"/>
  <c r="A39" i="5"/>
  <c r="A40" i="5"/>
  <c r="A41" i="5"/>
  <c r="A42" i="5"/>
  <c r="A20" i="5"/>
  <c r="A10" i="5"/>
  <c r="A11" i="5"/>
  <c r="A12" i="5"/>
  <c r="A13" i="5"/>
  <c r="A14" i="5"/>
  <c r="A15" i="5"/>
  <c r="A16" i="5"/>
  <c r="A17" i="5"/>
  <c r="A18" i="5"/>
  <c r="A19" i="5"/>
  <c r="D80" i="4"/>
  <c r="E80" i="4"/>
  <c r="F80" i="4"/>
  <c r="G80" i="4"/>
  <c r="H80" i="4"/>
  <c r="I80" i="4"/>
  <c r="J80" i="4"/>
  <c r="K80" i="4"/>
  <c r="L80" i="4"/>
  <c r="D81" i="4"/>
  <c r="E81" i="4"/>
  <c r="F81" i="4"/>
  <c r="G81" i="4"/>
  <c r="H81" i="4"/>
  <c r="I81" i="4"/>
  <c r="J81" i="4"/>
  <c r="K81" i="4"/>
  <c r="L81" i="4"/>
  <c r="D82" i="4"/>
  <c r="E82" i="4"/>
  <c r="F82" i="4"/>
  <c r="G82" i="4"/>
  <c r="H82" i="4"/>
  <c r="I82" i="4"/>
  <c r="J82" i="4"/>
  <c r="K82" i="4"/>
  <c r="L82" i="4"/>
  <c r="D83" i="4"/>
  <c r="E83" i="4"/>
  <c r="F83" i="4"/>
  <c r="G83" i="4"/>
  <c r="H83" i="4"/>
  <c r="I83" i="4"/>
  <c r="J83" i="4"/>
  <c r="K83" i="4"/>
  <c r="L83" i="4"/>
  <c r="D84" i="4"/>
  <c r="E84" i="4"/>
  <c r="F84" i="4"/>
  <c r="G84" i="4"/>
  <c r="H84" i="4"/>
  <c r="I84" i="4"/>
  <c r="J84" i="4"/>
  <c r="K84" i="4"/>
  <c r="L84" i="4"/>
  <c r="D85" i="4"/>
  <c r="E85" i="4"/>
  <c r="F85" i="4"/>
  <c r="G85" i="4"/>
  <c r="H85" i="4"/>
  <c r="I85" i="4"/>
  <c r="J85" i="4"/>
  <c r="K85" i="4"/>
  <c r="L85" i="4"/>
  <c r="D86" i="4"/>
  <c r="E86" i="4"/>
  <c r="F86" i="4"/>
  <c r="G86" i="4"/>
  <c r="H86" i="4"/>
  <c r="I86" i="4"/>
  <c r="J86" i="4"/>
  <c r="K86" i="4"/>
  <c r="L86" i="4"/>
  <c r="D87" i="4"/>
  <c r="E87" i="4"/>
  <c r="F87" i="4"/>
  <c r="G87" i="4"/>
  <c r="H87" i="4"/>
  <c r="I87" i="4"/>
  <c r="J87" i="4"/>
  <c r="K87" i="4"/>
  <c r="L87" i="4"/>
  <c r="D88" i="4"/>
  <c r="E88" i="4"/>
  <c r="F88" i="4"/>
  <c r="G88" i="4"/>
  <c r="H88" i="4"/>
  <c r="I88" i="4"/>
  <c r="J88" i="4"/>
  <c r="K88" i="4"/>
  <c r="L88" i="4"/>
  <c r="D89" i="4"/>
  <c r="E89" i="4"/>
  <c r="F89" i="4"/>
  <c r="G89" i="4"/>
  <c r="H89" i="4"/>
  <c r="I89" i="4"/>
  <c r="J89" i="4"/>
  <c r="K89" i="4"/>
  <c r="L89" i="4"/>
  <c r="D90" i="4"/>
  <c r="E90" i="4"/>
  <c r="F90" i="4"/>
  <c r="G90" i="4"/>
  <c r="H90" i="4"/>
  <c r="I90" i="4"/>
  <c r="J90" i="4"/>
  <c r="K90" i="4"/>
  <c r="L90" i="4"/>
  <c r="D91" i="4"/>
  <c r="E91" i="4"/>
  <c r="F91" i="4"/>
  <c r="G91" i="4"/>
  <c r="H91" i="4"/>
  <c r="I91" i="4"/>
  <c r="J91" i="4"/>
  <c r="K91" i="4"/>
  <c r="L91" i="4"/>
  <c r="D92" i="4"/>
  <c r="E92" i="4"/>
  <c r="F92" i="4"/>
  <c r="G92" i="4"/>
  <c r="H92" i="4"/>
  <c r="I92" i="4"/>
  <c r="J92" i="4"/>
  <c r="K92" i="4"/>
  <c r="L92" i="4"/>
  <c r="D93" i="4"/>
  <c r="E93" i="4"/>
  <c r="F93" i="4"/>
  <c r="G93" i="4"/>
  <c r="H93" i="4"/>
  <c r="I93" i="4"/>
  <c r="J93" i="4"/>
  <c r="K93" i="4"/>
  <c r="L93" i="4"/>
  <c r="D94" i="4"/>
  <c r="E94" i="4"/>
  <c r="F94" i="4"/>
  <c r="G94" i="4"/>
  <c r="H94" i="4"/>
  <c r="I94" i="4"/>
  <c r="J94" i="4"/>
  <c r="K94" i="4"/>
  <c r="L94" i="4"/>
  <c r="D95" i="4"/>
  <c r="E95" i="4"/>
  <c r="F95" i="4"/>
  <c r="G95" i="4"/>
  <c r="H95" i="4"/>
  <c r="I95" i="4"/>
  <c r="J95" i="4"/>
  <c r="K95" i="4"/>
  <c r="L95" i="4"/>
  <c r="D96" i="4"/>
  <c r="E96" i="4"/>
  <c r="F96" i="4"/>
  <c r="G96" i="4"/>
  <c r="H96" i="4"/>
  <c r="I96" i="4"/>
  <c r="J96" i="4"/>
  <c r="K96" i="4"/>
  <c r="L96" i="4"/>
  <c r="D97" i="4"/>
  <c r="E97" i="4"/>
  <c r="F97" i="4"/>
  <c r="G97" i="4"/>
  <c r="H97" i="4"/>
  <c r="I97" i="4"/>
  <c r="J97" i="4"/>
  <c r="K97" i="4"/>
  <c r="L97" i="4"/>
  <c r="E79" i="4"/>
  <c r="F79" i="4"/>
  <c r="G79" i="4"/>
  <c r="H79" i="4"/>
  <c r="I79" i="4"/>
  <c r="J79" i="4"/>
  <c r="K79" i="4"/>
  <c r="L79" i="4"/>
  <c r="D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79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C78" i="4"/>
  <c r="B78" i="4"/>
  <c r="A78" i="4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G2" i="3"/>
  <c r="F2" i="3"/>
  <c r="D63" i="4"/>
  <c r="E63" i="4"/>
  <c r="F63" i="4"/>
  <c r="G63" i="4"/>
  <c r="H63" i="4"/>
  <c r="I63" i="4"/>
  <c r="J63" i="4"/>
  <c r="K63" i="4"/>
  <c r="L63" i="4"/>
  <c r="M63" i="4"/>
  <c r="D64" i="4"/>
  <c r="E64" i="4"/>
  <c r="F64" i="4"/>
  <c r="G64" i="4"/>
  <c r="H64" i="4"/>
  <c r="I64" i="4"/>
  <c r="J64" i="4"/>
  <c r="K64" i="4"/>
  <c r="L64" i="4"/>
  <c r="M64" i="4"/>
  <c r="D65" i="4"/>
  <c r="E65" i="4"/>
  <c r="F65" i="4"/>
  <c r="G65" i="4"/>
  <c r="H65" i="4"/>
  <c r="I65" i="4"/>
  <c r="J65" i="4"/>
  <c r="K65" i="4"/>
  <c r="L65" i="4"/>
  <c r="M65" i="4"/>
  <c r="D66" i="4"/>
  <c r="E66" i="4"/>
  <c r="F66" i="4"/>
  <c r="G66" i="4"/>
  <c r="H66" i="4"/>
  <c r="I66" i="4"/>
  <c r="J66" i="4"/>
  <c r="K66" i="4"/>
  <c r="L66" i="4"/>
  <c r="M66" i="4"/>
  <c r="D67" i="4"/>
  <c r="E67" i="4"/>
  <c r="F67" i="4"/>
  <c r="G67" i="4"/>
  <c r="H67" i="4"/>
  <c r="I67" i="4"/>
  <c r="J67" i="4"/>
  <c r="K67" i="4"/>
  <c r="L67" i="4"/>
  <c r="M67" i="4"/>
  <c r="D68" i="4"/>
  <c r="E68" i="4"/>
  <c r="F68" i="4"/>
  <c r="G68" i="4"/>
  <c r="H68" i="4"/>
  <c r="I68" i="4"/>
  <c r="J68" i="4"/>
  <c r="K68" i="4"/>
  <c r="L68" i="4"/>
  <c r="M68" i="4"/>
  <c r="D69" i="4"/>
  <c r="E69" i="4"/>
  <c r="F69" i="4"/>
  <c r="G69" i="4"/>
  <c r="H69" i="4"/>
  <c r="I69" i="4"/>
  <c r="J69" i="4"/>
  <c r="K69" i="4"/>
  <c r="L69" i="4"/>
  <c r="M69" i="4"/>
  <c r="D70" i="4"/>
  <c r="E70" i="4"/>
  <c r="F70" i="4"/>
  <c r="G70" i="4"/>
  <c r="H70" i="4"/>
  <c r="I70" i="4"/>
  <c r="J70" i="4"/>
  <c r="K70" i="4"/>
  <c r="L70" i="4"/>
  <c r="M70" i="4"/>
  <c r="D71" i="4"/>
  <c r="E71" i="4"/>
  <c r="F71" i="4"/>
  <c r="G71" i="4"/>
  <c r="H71" i="4"/>
  <c r="I71" i="4"/>
  <c r="J71" i="4"/>
  <c r="K71" i="4"/>
  <c r="L71" i="4"/>
  <c r="M71" i="4"/>
  <c r="D72" i="4"/>
  <c r="E72" i="4"/>
  <c r="F72" i="4"/>
  <c r="G72" i="4"/>
  <c r="H72" i="4"/>
  <c r="I72" i="4"/>
  <c r="J72" i="4"/>
  <c r="K72" i="4"/>
  <c r="L72" i="4"/>
  <c r="M72" i="4"/>
  <c r="D73" i="4"/>
  <c r="E73" i="4"/>
  <c r="F73" i="4"/>
  <c r="G73" i="4"/>
  <c r="H73" i="4"/>
  <c r="I73" i="4"/>
  <c r="J73" i="4"/>
  <c r="K73" i="4"/>
  <c r="L73" i="4"/>
  <c r="M73" i="4"/>
  <c r="A63" i="4"/>
  <c r="B63" i="4"/>
  <c r="C63" i="4"/>
  <c r="A64" i="4"/>
  <c r="B64" i="4"/>
  <c r="C64" i="4"/>
  <c r="A65" i="4"/>
  <c r="B65" i="4"/>
  <c r="C65" i="4"/>
  <c r="A66" i="4"/>
  <c r="B66" i="4"/>
  <c r="C66" i="4"/>
  <c r="A67" i="4"/>
  <c r="B67" i="4"/>
  <c r="C67" i="4"/>
  <c r="A68" i="4"/>
  <c r="B68" i="4"/>
  <c r="C68" i="4"/>
  <c r="A69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B19" i="3"/>
  <c r="B17" i="3"/>
  <c r="B11" i="3"/>
  <c r="D38" i="4"/>
  <c r="E38" i="4"/>
  <c r="F38" i="4"/>
  <c r="G38" i="4"/>
  <c r="H38" i="4"/>
  <c r="I38" i="4"/>
  <c r="J38" i="4"/>
  <c r="K38" i="4" s="1"/>
  <c r="L38" i="4"/>
  <c r="M38" i="4" s="1"/>
  <c r="P38" i="4"/>
  <c r="S38" i="4" s="1"/>
  <c r="R38" i="4"/>
  <c r="T38" i="4"/>
  <c r="D39" i="4"/>
  <c r="E39" i="4"/>
  <c r="F39" i="4"/>
  <c r="G39" i="4"/>
  <c r="H39" i="4"/>
  <c r="I39" i="4"/>
  <c r="J39" i="4"/>
  <c r="K39" i="4"/>
  <c r="L39" i="4"/>
  <c r="O39" i="4" s="1"/>
  <c r="P39" i="4"/>
  <c r="Q39" i="4" s="1"/>
  <c r="R39" i="4"/>
  <c r="T39" i="4"/>
  <c r="T37" i="4"/>
  <c r="P37" i="4"/>
  <c r="S37" i="4" s="1"/>
  <c r="L37" i="4"/>
  <c r="M37" i="4" s="1"/>
  <c r="J37" i="4"/>
  <c r="K37" i="4" s="1"/>
  <c r="H37" i="4"/>
  <c r="I37" i="4" s="1"/>
  <c r="G37" i="4"/>
  <c r="F37" i="4"/>
  <c r="E37" i="4"/>
  <c r="D37" i="4"/>
  <c r="F36" i="4"/>
  <c r="E36" i="4"/>
  <c r="D36" i="4"/>
  <c r="B61" i="4"/>
  <c r="F61" i="4" s="1"/>
  <c r="C54" i="4"/>
  <c r="B54" i="4"/>
  <c r="A54" i="4"/>
  <c r="C33" i="4"/>
  <c r="B8" i="4"/>
  <c r="C50" i="4" s="1"/>
  <c r="B6" i="4"/>
  <c r="C48" i="4" s="1"/>
  <c r="Q21" i="1" l="1"/>
  <c r="D21" i="1" s="1"/>
  <c r="Q16" i="1"/>
  <c r="D16" i="1" s="1"/>
  <c r="Q15" i="1"/>
  <c r="D15" i="1" s="1"/>
  <c r="Q20" i="1"/>
  <c r="D20" i="1" s="1"/>
  <c r="Q5" i="1"/>
  <c r="D5" i="1" s="1"/>
  <c r="Q12" i="1"/>
  <c r="D12" i="1" s="1"/>
  <c r="Q13" i="1"/>
  <c r="D13" i="1" s="1"/>
  <c r="Q14" i="1"/>
  <c r="D14" i="1" s="1"/>
  <c r="Q11" i="1"/>
  <c r="D11" i="1" s="1"/>
  <c r="Q4" i="1"/>
  <c r="D4" i="1" s="1"/>
  <c r="Q18" i="1"/>
  <c r="D18" i="1" s="1"/>
  <c r="Q17" i="1"/>
  <c r="D17" i="1" s="1"/>
  <c r="Q19" i="1"/>
  <c r="D19" i="1" s="1"/>
  <c r="Q3" i="1"/>
  <c r="D3" i="1" s="1"/>
  <c r="Q10" i="1"/>
  <c r="D10" i="1" s="1"/>
  <c r="Q9" i="1"/>
  <c r="D9" i="1" s="1"/>
  <c r="Q8" i="1"/>
  <c r="D8" i="1" s="1"/>
  <c r="Q23" i="1"/>
  <c r="D23" i="1" s="1"/>
  <c r="Q7" i="1"/>
  <c r="D7" i="1" s="1"/>
  <c r="Q22" i="1"/>
  <c r="D22" i="1" s="1"/>
  <c r="Q6" i="1"/>
  <c r="D6" i="1" s="1"/>
  <c r="H61" i="4"/>
  <c r="O38" i="4"/>
  <c r="S39" i="4"/>
  <c r="Q38" i="4"/>
  <c r="N39" i="4"/>
  <c r="M39" i="4"/>
  <c r="K61" i="4"/>
  <c r="C32" i="5" s="1"/>
  <c r="G61" i="4"/>
  <c r="D32" i="5" s="1"/>
  <c r="J61" i="4"/>
  <c r="E32" i="5" s="1"/>
  <c r="B59" i="4"/>
  <c r="I61" i="4"/>
  <c r="I32" i="5"/>
  <c r="E61" i="4"/>
  <c r="D61" i="4"/>
  <c r="K32" i="5"/>
  <c r="L61" i="4"/>
  <c r="N38" i="4"/>
  <c r="Q37" i="4"/>
  <c r="O37" i="4"/>
  <c r="N37" i="4"/>
  <c r="R37" i="4"/>
  <c r="J3" i="1"/>
  <c r="A27" i="5"/>
  <c r="A28" i="5"/>
  <c r="A29" i="5"/>
  <c r="A30" i="5"/>
  <c r="A31" i="5"/>
  <c r="A32" i="5"/>
  <c r="A33" i="5"/>
  <c r="A26" i="5"/>
  <c r="J25" i="3"/>
  <c r="O34" i="3"/>
  <c r="G28" i="3"/>
  <c r="G29" i="3" s="1"/>
  <c r="F28" i="3"/>
  <c r="H24" i="3"/>
  <c r="G27" i="3"/>
  <c r="G26" i="3"/>
  <c r="G25" i="3"/>
  <c r="G24" i="3"/>
  <c r="O32" i="3"/>
  <c r="O30" i="3"/>
  <c r="A9" i="5"/>
  <c r="A8" i="5"/>
  <c r="A7" i="5"/>
  <c r="A6" i="5"/>
  <c r="A5" i="5"/>
  <c r="A4" i="5"/>
  <c r="A3" i="5"/>
  <c r="A2" i="5"/>
  <c r="C32" i="4"/>
  <c r="F32" i="4" s="1"/>
  <c r="A43" i="4"/>
  <c r="B43" i="4"/>
  <c r="C30" i="4"/>
  <c r="F30" i="4" s="1"/>
  <c r="C31" i="4"/>
  <c r="D31" i="4" s="1"/>
  <c r="C3" i="4"/>
  <c r="C4" i="4"/>
  <c r="C5" i="4"/>
  <c r="C6" i="4"/>
  <c r="C7" i="4"/>
  <c r="C8" i="4"/>
  <c r="C9" i="4"/>
  <c r="C2" i="4"/>
  <c r="B2" i="4"/>
  <c r="A3" i="4"/>
  <c r="A4" i="4"/>
  <c r="A5" i="4"/>
  <c r="A6" i="4"/>
  <c r="A7" i="4"/>
  <c r="A8" i="4"/>
  <c r="A9" i="4"/>
  <c r="A2" i="4"/>
  <c r="B3" i="4"/>
  <c r="B4" i="4"/>
  <c r="B5" i="4"/>
  <c r="B7" i="4"/>
  <c r="B9" i="4"/>
  <c r="D59" i="4" l="1"/>
  <c r="L59" i="4"/>
  <c r="J59" i="4"/>
  <c r="H59" i="4"/>
  <c r="B30" i="5" s="1"/>
  <c r="I59" i="4"/>
  <c r="C30" i="5" s="1"/>
  <c r="K59" i="4"/>
  <c r="E30" i="5" s="1"/>
  <c r="E59" i="4"/>
  <c r="F59" i="4"/>
  <c r="G59" i="4"/>
  <c r="A45" i="4"/>
  <c r="M56" i="4"/>
  <c r="A56" i="4"/>
  <c r="P44" i="4"/>
  <c r="B55" i="4"/>
  <c r="C51" i="4"/>
  <c r="F51" i="4" s="1"/>
  <c r="B62" i="4"/>
  <c r="C47" i="4"/>
  <c r="J47" i="4" s="1"/>
  <c r="B58" i="4"/>
  <c r="C46" i="4"/>
  <c r="H46" i="4" s="1"/>
  <c r="I46" i="4" s="1"/>
  <c r="B57" i="4"/>
  <c r="B47" i="4"/>
  <c r="C58" i="4"/>
  <c r="C45" i="4"/>
  <c r="G45" i="4" s="1"/>
  <c r="B56" i="4"/>
  <c r="A51" i="4"/>
  <c r="A62" i="4"/>
  <c r="M62" i="4"/>
  <c r="A48" i="4"/>
  <c r="A59" i="4"/>
  <c r="M59" i="4"/>
  <c r="A46" i="4"/>
  <c r="A57" i="4"/>
  <c r="M57" i="4"/>
  <c r="B44" i="4"/>
  <c r="C55" i="4"/>
  <c r="B51" i="4"/>
  <c r="C62" i="4"/>
  <c r="B50" i="4"/>
  <c r="C61" i="4"/>
  <c r="C49" i="4"/>
  <c r="D49" i="4" s="1"/>
  <c r="B60" i="4"/>
  <c r="B49" i="4"/>
  <c r="C60" i="4"/>
  <c r="B48" i="4"/>
  <c r="C59" i="4"/>
  <c r="J32" i="5"/>
  <c r="G32" i="5"/>
  <c r="L32" i="5"/>
  <c r="P32" i="5"/>
  <c r="M32" i="5"/>
  <c r="U32" i="5"/>
  <c r="H32" i="5"/>
  <c r="B46" i="4"/>
  <c r="C57" i="4"/>
  <c r="A44" i="4"/>
  <c r="A55" i="4"/>
  <c r="M55" i="4"/>
  <c r="B45" i="4"/>
  <c r="C56" i="4"/>
  <c r="A50" i="4"/>
  <c r="M61" i="4"/>
  <c r="A61" i="4"/>
  <c r="A49" i="4"/>
  <c r="A60" i="4"/>
  <c r="M60" i="4"/>
  <c r="A47" i="4"/>
  <c r="A58" i="4"/>
  <c r="M58" i="4"/>
  <c r="E32" i="4"/>
  <c r="D32" i="4"/>
  <c r="C44" i="4"/>
  <c r="D44" i="4" s="1"/>
  <c r="P45" i="4"/>
  <c r="J48" i="4"/>
  <c r="H48" i="4"/>
  <c r="I48" i="4" s="1"/>
  <c r="G48" i="4"/>
  <c r="E48" i="4"/>
  <c r="F48" i="4"/>
  <c r="D48" i="4"/>
  <c r="J50" i="4"/>
  <c r="K50" i="4" s="1"/>
  <c r="H50" i="4"/>
  <c r="I50" i="4" s="1"/>
  <c r="F50" i="4"/>
  <c r="L48" i="4"/>
  <c r="M48" i="4" s="1"/>
  <c r="D50" i="4"/>
  <c r="E50" i="4"/>
  <c r="G50" i="4"/>
  <c r="M19" i="1"/>
  <c r="M5" i="1"/>
  <c r="M22" i="1"/>
  <c r="M21" i="1"/>
  <c r="M20" i="1"/>
  <c r="M23" i="1"/>
  <c r="M17" i="1"/>
  <c r="M18" i="1"/>
  <c r="M9" i="1"/>
  <c r="M7" i="1"/>
  <c r="D47" i="4"/>
  <c r="H47" i="4"/>
  <c r="L47" i="4"/>
  <c r="P49" i="4"/>
  <c r="P48" i="4"/>
  <c r="P50" i="4"/>
  <c r="P47" i="4"/>
  <c r="P46" i="4"/>
  <c r="P51" i="4"/>
  <c r="F31" i="4"/>
  <c r="E31" i="4"/>
  <c r="D30" i="4"/>
  <c r="G31" i="4"/>
  <c r="G32" i="4"/>
  <c r="H31" i="4"/>
  <c r="I31" i="4" s="1"/>
  <c r="J31" i="4"/>
  <c r="K31" i="4" s="1"/>
  <c r="L32" i="4"/>
  <c r="M32" i="4" s="1"/>
  <c r="E30" i="4"/>
  <c r="J32" i="4"/>
  <c r="K32" i="4" s="1"/>
  <c r="H32" i="4"/>
  <c r="I32" i="4" s="1"/>
  <c r="M16" i="1"/>
  <c r="M13" i="1"/>
  <c r="M12" i="1"/>
  <c r="M8" i="1"/>
  <c r="M4" i="1"/>
  <c r="L4" i="1"/>
  <c r="C4" i="1" s="1"/>
  <c r="M6" i="1"/>
  <c r="M15" i="1"/>
  <c r="M14" i="1"/>
  <c r="M10" i="1"/>
  <c r="M11" i="1"/>
  <c r="L5" i="1"/>
  <c r="C5" i="1" s="1"/>
  <c r="L15" i="1"/>
  <c r="C15" i="1" s="1"/>
  <c r="L11" i="1"/>
  <c r="C11" i="1" s="1"/>
  <c r="L12" i="1"/>
  <c r="C12" i="1" s="1"/>
  <c r="L14" i="1"/>
  <c r="C14" i="1" s="1"/>
  <c r="L20" i="1"/>
  <c r="C20" i="1" s="1"/>
  <c r="L13" i="1"/>
  <c r="C13" i="1" s="1"/>
  <c r="L6" i="1"/>
  <c r="C6" i="1" s="1"/>
  <c r="L7" i="1"/>
  <c r="C7" i="1" s="1"/>
  <c r="L16" i="1"/>
  <c r="C16" i="1" s="1"/>
  <c r="L17" i="1"/>
  <c r="C17" i="1" s="1"/>
  <c r="L18" i="1"/>
  <c r="C18" i="1" s="1"/>
  <c r="L19" i="1"/>
  <c r="C19" i="1" s="1"/>
  <c r="L21" i="1"/>
  <c r="C21" i="1" s="1"/>
  <c r="L22" i="1"/>
  <c r="C22" i="1" s="1"/>
  <c r="L3" i="1"/>
  <c r="C3" i="1" s="1"/>
  <c r="L23" i="1"/>
  <c r="C23" i="1" s="1"/>
  <c r="L8" i="1"/>
  <c r="C8" i="1" s="1"/>
  <c r="L9" i="1"/>
  <c r="C9" i="1" s="1"/>
  <c r="L10" i="1"/>
  <c r="C10" i="1" s="1"/>
  <c r="J46" i="4" l="1"/>
  <c r="G51" i="4"/>
  <c r="J51" i="4"/>
  <c r="D51" i="4"/>
  <c r="M30" i="5"/>
  <c r="P30" i="5"/>
  <c r="Q30" i="5"/>
  <c r="R30" i="5"/>
  <c r="G30" i="5"/>
  <c r="L30" i="5"/>
  <c r="I30" i="5"/>
  <c r="H51" i="4"/>
  <c r="I51" i="4" s="1"/>
  <c r="L51" i="4"/>
  <c r="N51" i="4" s="1"/>
  <c r="D30" i="5"/>
  <c r="F30" i="5"/>
  <c r="E51" i="4"/>
  <c r="Q51" i="4" s="1"/>
  <c r="D45" i="4"/>
  <c r="E45" i="4"/>
  <c r="K60" i="4"/>
  <c r="L60" i="4"/>
  <c r="D60" i="4"/>
  <c r="E60" i="4"/>
  <c r="C31" i="5" s="1"/>
  <c r="F60" i="4"/>
  <c r="G60" i="4"/>
  <c r="B31" i="5" s="1"/>
  <c r="H60" i="4"/>
  <c r="D31" i="5" s="1"/>
  <c r="I60" i="4"/>
  <c r="E31" i="5" s="1"/>
  <c r="J60" i="4"/>
  <c r="F49" i="4"/>
  <c r="E49" i="4"/>
  <c r="J49" i="4"/>
  <c r="K49" i="4" s="1"/>
  <c r="L49" i="4"/>
  <c r="O49" i="4" s="1"/>
  <c r="D46" i="4"/>
  <c r="Q46" i="4" s="1"/>
  <c r="H55" i="4"/>
  <c r="D55" i="4"/>
  <c r="K55" i="4"/>
  <c r="G55" i="4"/>
  <c r="F55" i="4"/>
  <c r="E55" i="4"/>
  <c r="I55" i="4"/>
  <c r="L55" i="4"/>
  <c r="J55" i="4"/>
  <c r="G47" i="4"/>
  <c r="E46" i="4"/>
  <c r="F46" i="4"/>
  <c r="D56" i="4"/>
  <c r="H56" i="4"/>
  <c r="G56" i="4"/>
  <c r="E27" i="5" s="1"/>
  <c r="I56" i="4"/>
  <c r="H27" i="5" s="1"/>
  <c r="J56" i="4"/>
  <c r="K56" i="4"/>
  <c r="L56" i="4"/>
  <c r="U27" i="5" s="1"/>
  <c r="E56" i="4"/>
  <c r="C27" i="5" s="1"/>
  <c r="F56" i="4"/>
  <c r="D27" i="5" s="1"/>
  <c r="G49" i="4"/>
  <c r="F57" i="4"/>
  <c r="E28" i="5" s="1"/>
  <c r="L57" i="4"/>
  <c r="Q28" i="5" s="1"/>
  <c r="G57" i="4"/>
  <c r="H57" i="4"/>
  <c r="H28" i="5" s="1"/>
  <c r="I57" i="4"/>
  <c r="G28" i="5" s="1"/>
  <c r="J57" i="4"/>
  <c r="D57" i="4"/>
  <c r="C28" i="5" s="1"/>
  <c r="E57" i="4"/>
  <c r="F28" i="5" s="1"/>
  <c r="K57" i="4"/>
  <c r="F45" i="4"/>
  <c r="D58" i="4"/>
  <c r="G58" i="4"/>
  <c r="C29" i="5" s="1"/>
  <c r="H58" i="4"/>
  <c r="I58" i="4"/>
  <c r="E29" i="5" s="1"/>
  <c r="J58" i="4"/>
  <c r="D29" i="5" s="1"/>
  <c r="E58" i="4"/>
  <c r="B29" i="5" s="1"/>
  <c r="K58" i="4"/>
  <c r="L58" i="4"/>
  <c r="F58" i="4"/>
  <c r="H45" i="4"/>
  <c r="I45" i="4" s="1"/>
  <c r="I62" i="4"/>
  <c r="E33" i="5" s="1"/>
  <c r="J62" i="4"/>
  <c r="L62" i="4"/>
  <c r="K62" i="4"/>
  <c r="D62" i="4"/>
  <c r="E62" i="4"/>
  <c r="B33" i="5" s="1"/>
  <c r="F62" i="4"/>
  <c r="G62" i="4"/>
  <c r="H62" i="4"/>
  <c r="D33" i="5" s="1"/>
  <c r="J45" i="4"/>
  <c r="E44" i="4"/>
  <c r="L45" i="4"/>
  <c r="M45" i="4" s="1"/>
  <c r="F47" i="4"/>
  <c r="E47" i="4"/>
  <c r="G46" i="4"/>
  <c r="H49" i="4"/>
  <c r="I49" i="4" s="1"/>
  <c r="L46" i="4"/>
  <c r="O46" i="4" s="1"/>
  <c r="A32" i="4"/>
  <c r="A31" i="4"/>
  <c r="N32" i="4"/>
  <c r="O32" i="4"/>
  <c r="K48" i="4"/>
  <c r="L44" i="4"/>
  <c r="N44" i="4" s="1"/>
  <c r="Q48" i="4"/>
  <c r="N48" i="4"/>
  <c r="K51" i="4"/>
  <c r="K45" i="4"/>
  <c r="K46" i="4"/>
  <c r="K47" i="4"/>
  <c r="Q50" i="4"/>
  <c r="I47" i="4"/>
  <c r="J44" i="4"/>
  <c r="O48" i="4"/>
  <c r="F44" i="4"/>
  <c r="H44" i="4"/>
  <c r="G44" i="4"/>
  <c r="M47" i="4"/>
  <c r="O47" i="4"/>
  <c r="N47" i="4"/>
  <c r="A30" i="4"/>
  <c r="Q47" i="4" l="1"/>
  <c r="Q45" i="4"/>
  <c r="Q49" i="4"/>
  <c r="M51" i="4"/>
  <c r="O51" i="4"/>
  <c r="O45" i="4"/>
  <c r="N45" i="4"/>
  <c r="M46" i="4"/>
  <c r="G33" i="5"/>
  <c r="H33" i="5"/>
  <c r="K33" i="5"/>
  <c r="M49" i="4"/>
  <c r="N49" i="4"/>
  <c r="I33" i="5"/>
  <c r="O33" i="5"/>
  <c r="J33" i="5"/>
  <c r="J27" i="5"/>
  <c r="G27" i="5"/>
  <c r="G31" i="5"/>
  <c r="F31" i="5"/>
  <c r="N46" i="4"/>
  <c r="E26" i="5"/>
  <c r="D26" i="5"/>
  <c r="B26" i="5"/>
  <c r="P29" i="5"/>
  <c r="I29" i="5"/>
  <c r="H29" i="5"/>
  <c r="G29" i="5"/>
  <c r="J31" i="5"/>
  <c r="H31" i="5"/>
  <c r="I31" i="5"/>
  <c r="I28" i="5"/>
  <c r="U28" i="5"/>
  <c r="R28" i="5"/>
  <c r="P33" i="5"/>
  <c r="U33" i="5"/>
  <c r="R33" i="5"/>
  <c r="Q33" i="5"/>
  <c r="N28" i="5"/>
  <c r="S28" i="5"/>
  <c r="L28" i="5"/>
  <c r="V29" i="5"/>
  <c r="M29" i="5"/>
  <c r="J29" i="5"/>
  <c r="T29" i="5"/>
  <c r="L29" i="5"/>
  <c r="W29" i="5"/>
  <c r="K29" i="5"/>
  <c r="O29" i="5"/>
  <c r="P31" i="5"/>
  <c r="L31" i="5"/>
  <c r="N31" i="5"/>
  <c r="U31" i="5"/>
  <c r="R31" i="5"/>
  <c r="W27" i="5"/>
  <c r="P27" i="5"/>
  <c r="Q27" i="5"/>
  <c r="O27" i="5"/>
  <c r="M27" i="5"/>
  <c r="I27" i="5"/>
  <c r="O44" i="4"/>
  <c r="M44" i="4"/>
  <c r="G18" i="1"/>
  <c r="G12" i="1"/>
  <c r="G4" i="1"/>
  <c r="G19" i="1"/>
  <c r="Q44" i="4"/>
  <c r="G7" i="1"/>
  <c r="K44" i="4"/>
  <c r="I44" i="4"/>
  <c r="G5" i="1"/>
  <c r="G13" i="1"/>
  <c r="G11" i="1"/>
  <c r="G17" i="1"/>
  <c r="G21" i="1"/>
  <c r="G15" i="1"/>
  <c r="G23" i="1"/>
  <c r="G22" i="1"/>
  <c r="G16" i="1"/>
  <c r="G20" i="1"/>
  <c r="G3" i="1"/>
  <c r="G14" i="1"/>
  <c r="G10" i="1"/>
  <c r="G9" i="1"/>
  <c r="G8" i="1"/>
  <c r="G6" i="1"/>
</calcChain>
</file>

<file path=xl/sharedStrings.xml><?xml version="1.0" encoding="utf-8"?>
<sst xmlns="http://schemas.openxmlformats.org/spreadsheetml/2006/main" count="636" uniqueCount="164">
  <si>
    <t>Saihara</t>
  </si>
  <si>
    <t>El Juancho</t>
  </si>
  <si>
    <t>Tormen</t>
  </si>
  <si>
    <t>chatu</t>
  </si>
  <si>
    <t>AND</t>
  </si>
  <si>
    <t>DrWilty</t>
  </si>
  <si>
    <t>Azfalot</t>
  </si>
  <si>
    <t>Dalvila</t>
  </si>
  <si>
    <t>Narvex</t>
  </si>
  <si>
    <t>Mask</t>
  </si>
  <si>
    <t>Rin</t>
  </si>
  <si>
    <t>Saviir</t>
  </si>
  <si>
    <t>Traum</t>
  </si>
  <si>
    <t>Frewe10</t>
  </si>
  <si>
    <t>Foxy</t>
  </si>
  <si>
    <t>Dinokami</t>
  </si>
  <si>
    <t>Leboxi</t>
  </si>
  <si>
    <t>Player</t>
  </si>
  <si>
    <t>Raw H2H Score</t>
  </si>
  <si>
    <t>Fixed H2H Score</t>
  </si>
  <si>
    <t>19 base</t>
  </si>
  <si>
    <t>diff</t>
  </si>
  <si>
    <t>16+top30+top100</t>
  </si>
  <si>
    <t>19+top100</t>
  </si>
  <si>
    <t>16 base?</t>
  </si>
  <si>
    <t>Torneo</t>
  </si>
  <si>
    <t>Score</t>
  </si>
  <si>
    <t>Entrants</t>
  </si>
  <si>
    <t>gafce</t>
  </si>
  <si>
    <t>Total</t>
  </si>
  <si>
    <t>&lt;8 entrants</t>
  </si>
  <si>
    <t>&lt;16 entrants</t>
  </si>
  <si>
    <t>Score/entrant</t>
  </si>
  <si>
    <t>Score total</t>
  </si>
  <si>
    <t>Suma valores</t>
  </si>
  <si>
    <t>&gt;=16 entrants</t>
  </si>
  <si>
    <t>Neo Sunnyside #8</t>
  </si>
  <si>
    <t>Joseja (?)</t>
  </si>
  <si>
    <t>MaraSmash 8</t>
  </si>
  <si>
    <t>Isma (?)</t>
  </si>
  <si>
    <t>16 base real (1a mitad 2023)</t>
  </si>
  <si>
    <t>Sunnyside Express #21</t>
  </si>
  <si>
    <t>BG Tilts &amp; Taunts 2 (18 sin dqs)</t>
  </si>
  <si>
    <t>Odin Summer Weekly #55</t>
  </si>
  <si>
    <t>ZeShi (100), Xiorad (100)</t>
  </si>
  <si>
    <t>21 supongo?</t>
  </si>
  <si>
    <t>1 entrant =</t>
  </si>
  <si>
    <t>Scores fixed</t>
  </si>
  <si>
    <t>Raw Results Score</t>
  </si>
  <si>
    <t>Fixed Results Score</t>
  </si>
  <si>
    <t>Top ordenado actualmente</t>
  </si>
  <si>
    <t>Entre la season 5 SBS y season 6 se incrementó el score de los primeros 48 entrants, haciendo que los torneos pequeños generasen más puntos más rápido</t>
  </si>
  <si>
    <t>Diexter</t>
  </si>
  <si>
    <t>Adryx</t>
  </si>
  <si>
    <t>Sombreitor</t>
  </si>
  <si>
    <t>Nycolast</t>
  </si>
  <si>
    <t>EnzoAR</t>
  </si>
  <si>
    <t>Gzuto</t>
  </si>
  <si>
    <t>Jalonso</t>
  </si>
  <si>
    <t>Hanival15</t>
  </si>
  <si>
    <t>AoT</t>
  </si>
  <si>
    <t>CoD5</t>
  </si>
  <si>
    <t>Plátano</t>
  </si>
  <si>
    <t>CoD6</t>
  </si>
  <si>
    <t>CoD7</t>
  </si>
  <si>
    <t>Caparazón</t>
  </si>
  <si>
    <t>CoD8</t>
  </si>
  <si>
    <t>CoD9</t>
  </si>
  <si>
    <t>Tier B</t>
  </si>
  <si>
    <t>Tier C</t>
  </si>
  <si>
    <t>&gt;=24 entrants</t>
  </si>
  <si>
    <t>Scisto</t>
  </si>
  <si>
    <t>Osoman</t>
  </si>
  <si>
    <t>Utop-ian</t>
  </si>
  <si>
    <t>JupiNya</t>
  </si>
  <si>
    <t>Molo</t>
  </si>
  <si>
    <t>BlackLoner</t>
  </si>
  <si>
    <t>pepe star fox</t>
  </si>
  <si>
    <t>esca</t>
  </si>
  <si>
    <t>Dabif</t>
  </si>
  <si>
    <t>RamonWars</t>
  </si>
  <si>
    <t>Zant</t>
  </si>
  <si>
    <t>Lokilla</t>
  </si>
  <si>
    <t>Andhi</t>
  </si>
  <si>
    <t>DjMon</t>
  </si>
  <si>
    <t>Patrick</t>
  </si>
  <si>
    <t>Pope</t>
  </si>
  <si>
    <t>Ego</t>
  </si>
  <si>
    <t>Fontz</t>
  </si>
  <si>
    <t>Golo</t>
  </si>
  <si>
    <t>Kuriso</t>
  </si>
  <si>
    <t>Ivol</t>
  </si>
  <si>
    <t>angeloti12</t>
  </si>
  <si>
    <t>raishack</t>
  </si>
  <si>
    <t>RedKenku</t>
  </si>
  <si>
    <t>Jorgito</t>
  </si>
  <si>
    <t>AGITO</t>
  </si>
  <si>
    <t>Zuka</t>
  </si>
  <si>
    <t>Ch1ris</t>
  </si>
  <si>
    <t>Lonson</t>
  </si>
  <si>
    <t>Soulsilver</t>
  </si>
  <si>
    <t>Vemax</t>
  </si>
  <si>
    <t>Cate</t>
  </si>
  <si>
    <t>Hakko</t>
  </si>
  <si>
    <t>Ainhi</t>
  </si>
  <si>
    <t>Eduardo</t>
  </si>
  <si>
    <t>Frey</t>
  </si>
  <si>
    <t>Divain</t>
  </si>
  <si>
    <t>Egotzon</t>
  </si>
  <si>
    <t>Edu</t>
  </si>
  <si>
    <t>Ruben04</t>
  </si>
  <si>
    <t>Minix10</t>
  </si>
  <si>
    <t>Falkko</t>
  </si>
  <si>
    <t>DaniGetto</t>
  </si>
  <si>
    <t>Cacamot</t>
  </si>
  <si>
    <t>aajuñiga</t>
  </si>
  <si>
    <t>rmoragar</t>
  </si>
  <si>
    <t>Default</t>
  </si>
  <si>
    <t>ElCope</t>
  </si>
  <si>
    <t>ad99</t>
  </si>
  <si>
    <t>Cris284</t>
  </si>
  <si>
    <t>Edu 024</t>
  </si>
  <si>
    <t>GodT</t>
  </si>
  <si>
    <t>Pichuru</t>
  </si>
  <si>
    <t>ML41</t>
  </si>
  <si>
    <t>Sabo</t>
  </si>
  <si>
    <t>AngelDust</t>
  </si>
  <si>
    <t>Kaori</t>
  </si>
  <si>
    <t>Rex suzuki</t>
  </si>
  <si>
    <t>8-15 entrants</t>
  </si>
  <si>
    <t>16-23 entrants</t>
  </si>
  <si>
    <t>24-32 entrants</t>
  </si>
  <si>
    <t>Método 1</t>
  </si>
  <si>
    <t>Método 2</t>
  </si>
  <si>
    <t>Total 3 mejores</t>
  </si>
  <si>
    <t>Arknights of Terra (0%)</t>
  </si>
  <si>
    <t>Results (85%)</t>
  </si>
  <si>
    <t>H2H (15%)</t>
  </si>
  <si>
    <t>Hoja</t>
  </si>
  <si>
    <t>Centella</t>
  </si>
  <si>
    <t>Tier D</t>
  </si>
  <si>
    <t>Huevo</t>
  </si>
  <si>
    <t>CoD11</t>
  </si>
  <si>
    <t>CoD10</t>
  </si>
  <si>
    <t>Crossing</t>
  </si>
  <si>
    <t>CoD12</t>
  </si>
  <si>
    <t>Trifuerza</t>
  </si>
  <si>
    <t>CoD13</t>
  </si>
  <si>
    <t>Campana</t>
  </si>
  <si>
    <t>PoD:TLS</t>
  </si>
  <si>
    <t>Método 2 Redondeado</t>
  </si>
  <si>
    <t>Diextr79</t>
  </si>
  <si>
    <t>Bafu</t>
  </si>
  <si>
    <t>GoldenWind</t>
  </si>
  <si>
    <t>ElBromas05</t>
  </si>
  <si>
    <t>Maigar</t>
  </si>
  <si>
    <t>Isa_cty1</t>
  </si>
  <si>
    <t>&gt;9 Asistencia</t>
  </si>
  <si>
    <t>JorgitoPredator</t>
  </si>
  <si>
    <t>Extranjeros &gt;9</t>
  </si>
  <si>
    <t>Extranjeros &gt;5</t>
  </si>
  <si>
    <t>ANGEL DUST</t>
  </si>
  <si>
    <t>Ordered Results</t>
  </si>
  <si>
    <t>Total 6 mejores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</si>
</sst>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right"/>
    </xf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0" borderId="4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AC36-48E3-46BF-9D9E-927B5EEB8933}">
  <dimension ref="A2:U49"/>
  <sheetViews>
    <sheetView tabSelected="1" topLeftCell="A13" workbookViewId="0">
      <selection activeCell="I40" sqref="I40"/>
    </sheetView>
  </sheetViews>
  <sheetFormatPr defaultColWidth="11.42578125" defaultRowHeight="15" x14ac:dyDescent="0.25"/>
  <sheetData>
    <row r="2" spans="2:21" x14ac:dyDescent="0.25">
      <c r="B2" t="s">
        <v>17</v>
      </c>
      <c r="C2" t="s">
        <v>137</v>
      </c>
      <c r="D2" t="s">
        <v>136</v>
      </c>
      <c r="E2" t="s">
        <v>135</v>
      </c>
      <c r="G2" t="s">
        <v>29</v>
      </c>
      <c r="J2" t="s">
        <v>18</v>
      </c>
      <c r="L2" t="s">
        <v>19</v>
      </c>
      <c r="O2" t="s">
        <v>48</v>
      </c>
      <c r="Q2" t="s">
        <v>49</v>
      </c>
      <c r="T2" t="s">
        <v>162</v>
      </c>
    </row>
    <row r="3" spans="2:21" x14ac:dyDescent="0.25">
      <c r="B3" t="str">
        <f>PuntosBraacket!A1</f>
        <v>Saihara</v>
      </c>
      <c r="C3">
        <f>L3*0.15</f>
        <v>15</v>
      </c>
      <c r="D3">
        <f>Q3*0.85</f>
        <v>85</v>
      </c>
      <c r="G3">
        <f t="shared" ref="G3:G23" si="0">C3+D3+E3</f>
        <v>100</v>
      </c>
      <c r="H3" s="1">
        <v>1</v>
      </c>
      <c r="J3" s="4">
        <f>PuntosBraacket!B1</f>
        <v>1827</v>
      </c>
      <c r="L3">
        <f>(J3*100/J3)</f>
        <v>100</v>
      </c>
      <c r="O3">
        <f>PlayerResults!B69</f>
        <v>3136</v>
      </c>
      <c r="Q3">
        <f>(O3*100)/$O$3</f>
        <v>100</v>
      </c>
      <c r="S3" s="1">
        <v>1</v>
      </c>
      <c r="T3" t="s">
        <v>0</v>
      </c>
      <c r="U3">
        <v>3136</v>
      </c>
    </row>
    <row r="4" spans="2:21" x14ac:dyDescent="0.25">
      <c r="B4" t="str">
        <f>PuntosBraacket!A2</f>
        <v>Tormen</v>
      </c>
      <c r="C4">
        <f t="shared" ref="C4:C23" si="1">L4*0.15</f>
        <v>14.638752052545156</v>
      </c>
      <c r="D4">
        <f>Q4*0.85</f>
        <v>74.164939413265301</v>
      </c>
      <c r="G4">
        <f t="shared" si="0"/>
        <v>88.803691465810459</v>
      </c>
      <c r="H4" s="1">
        <v>2</v>
      </c>
      <c r="J4" s="4">
        <f>PuntosBraacket!B2</f>
        <v>1783</v>
      </c>
      <c r="L4">
        <f>(J4*100/J3)</f>
        <v>97.591680350301047</v>
      </c>
      <c r="M4">
        <f t="shared" ref="M4:M23" si="2">(J4*100)/$J$4</f>
        <v>100</v>
      </c>
      <c r="O4">
        <f>PlayerResults!D69</f>
        <v>2736.25</v>
      </c>
      <c r="Q4">
        <f>(O4*100)/$O$3</f>
        <v>87.252869897959187</v>
      </c>
      <c r="S4" s="1">
        <v>2</v>
      </c>
      <c r="T4" t="s">
        <v>2</v>
      </c>
      <c r="U4">
        <v>2736.25</v>
      </c>
    </row>
    <row r="5" spans="2:21" x14ac:dyDescent="0.25">
      <c r="B5" t="str">
        <f>PuntosBraacket!A3</f>
        <v>El Juancho</v>
      </c>
      <c r="C5">
        <f t="shared" si="1"/>
        <v>13.702791461412152</v>
      </c>
      <c r="D5">
        <f>Q5*0.85</f>
        <v>65.227200255102034</v>
      </c>
      <c r="G5">
        <f t="shared" si="0"/>
        <v>78.929991716514181</v>
      </c>
      <c r="H5" s="1">
        <v>3</v>
      </c>
      <c r="J5" s="4">
        <f>PuntosBraacket!B3</f>
        <v>1669</v>
      </c>
      <c r="L5">
        <f>(J5*100/J3)</f>
        <v>91.351943076081014</v>
      </c>
      <c r="M5">
        <f t="shared" si="2"/>
        <v>93.606281547952889</v>
      </c>
      <c r="O5">
        <f>PlayerResults!C69</f>
        <v>2406.5</v>
      </c>
      <c r="Q5">
        <f t="shared" ref="Q5:Q23" si="3">(O5*100)/$O$3</f>
        <v>76.73788265306122</v>
      </c>
      <c r="S5" s="1">
        <v>3</v>
      </c>
      <c r="T5" t="s">
        <v>1</v>
      </c>
      <c r="U5">
        <v>2406.5</v>
      </c>
    </row>
    <row r="6" spans="2:21" x14ac:dyDescent="0.25">
      <c r="B6" t="str">
        <f>PuntosBraacket!A4</f>
        <v>chatu</v>
      </c>
      <c r="C6">
        <f t="shared" si="1"/>
        <v>12.988505747126435</v>
      </c>
      <c r="D6">
        <f>Q6*0.85</f>
        <v>50.428093112244895</v>
      </c>
      <c r="G6">
        <f t="shared" si="0"/>
        <v>63.416598859371334</v>
      </c>
      <c r="H6" s="1">
        <v>4</v>
      </c>
      <c r="J6" s="4">
        <f>PuntosBraacket!B4</f>
        <v>1582</v>
      </c>
      <c r="L6">
        <f>(J6*100/J3)</f>
        <v>86.59003831417624</v>
      </c>
      <c r="M6">
        <f t="shared" si="2"/>
        <v>88.726864834548508</v>
      </c>
      <c r="O6">
        <f>PlayerResults!E69</f>
        <v>1860.5</v>
      </c>
      <c r="Q6">
        <f t="shared" si="3"/>
        <v>59.327168367346935</v>
      </c>
      <c r="S6" s="1">
        <v>4</v>
      </c>
      <c r="T6" t="s">
        <v>3</v>
      </c>
      <c r="U6">
        <v>1860.5</v>
      </c>
    </row>
    <row r="7" spans="2:21" x14ac:dyDescent="0.25">
      <c r="B7" t="str">
        <f>PuntosBraacket!A5</f>
        <v>AND</v>
      </c>
      <c r="C7">
        <f t="shared" si="1"/>
        <v>12.42200328407225</v>
      </c>
      <c r="D7">
        <f>Q7*0.85</f>
        <v>20.457190688775508</v>
      </c>
      <c r="G7">
        <f t="shared" si="0"/>
        <v>32.879193972847759</v>
      </c>
      <c r="H7" s="1">
        <v>5</v>
      </c>
      <c r="J7" s="4">
        <f>PuntosBraacket!B5</f>
        <v>1513</v>
      </c>
      <c r="L7">
        <f>(J7*100/J3)</f>
        <v>82.813355227148335</v>
      </c>
      <c r="M7">
        <f t="shared" si="2"/>
        <v>84.856982613572626</v>
      </c>
      <c r="O7">
        <f>PlayerResults!F69</f>
        <v>754.75</v>
      </c>
      <c r="Q7">
        <f t="shared" si="3"/>
        <v>24.067283163265305</v>
      </c>
      <c r="S7" s="1">
        <v>5</v>
      </c>
      <c r="T7" t="s">
        <v>7</v>
      </c>
      <c r="U7">
        <v>1265</v>
      </c>
    </row>
    <row r="8" spans="2:21" x14ac:dyDescent="0.25">
      <c r="B8" t="str">
        <f>PuntosBraacket!A6</f>
        <v>Dalvila</v>
      </c>
      <c r="C8">
        <f t="shared" si="1"/>
        <v>11.904761904761905</v>
      </c>
      <c r="D8">
        <f t="shared" ref="D8:D23" si="4">Q8*0.85</f>
        <v>34.28730867346939</v>
      </c>
      <c r="G8">
        <f t="shared" si="0"/>
        <v>46.192070578231295</v>
      </c>
      <c r="H8" s="1">
        <v>6</v>
      </c>
      <c r="J8" s="4">
        <f>PuntosBraacket!B6</f>
        <v>1450</v>
      </c>
      <c r="L8">
        <f>(J8*100/J3)</f>
        <v>79.365079365079367</v>
      </c>
      <c r="M8">
        <f t="shared" si="2"/>
        <v>81.323611890072911</v>
      </c>
      <c r="O8">
        <f>PlayerResults!G69</f>
        <v>1265</v>
      </c>
      <c r="Q8">
        <f t="shared" si="3"/>
        <v>40.338010204081634</v>
      </c>
      <c r="S8" s="1">
        <v>6</v>
      </c>
      <c r="T8" t="s">
        <v>8</v>
      </c>
      <c r="U8">
        <v>1209.25</v>
      </c>
    </row>
    <row r="9" spans="2:21" x14ac:dyDescent="0.25">
      <c r="B9" t="str">
        <f>PuntosBraacket!A7</f>
        <v>DrWilty</v>
      </c>
      <c r="C9">
        <f t="shared" si="1"/>
        <v>11.666666666666666</v>
      </c>
      <c r="D9">
        <f t="shared" si="4"/>
        <v>31.393893494897956</v>
      </c>
      <c r="G9">
        <f t="shared" si="0"/>
        <v>43.060560161564624</v>
      </c>
      <c r="H9" s="1">
        <v>7</v>
      </c>
      <c r="J9" s="4">
        <f>PuntosBraacket!B7</f>
        <v>1421</v>
      </c>
      <c r="L9">
        <f>(J9*100/J3)</f>
        <v>77.777777777777771</v>
      </c>
      <c r="M9">
        <f t="shared" si="2"/>
        <v>79.697139652271446</v>
      </c>
      <c r="O9">
        <f>PlayerResults!K69</f>
        <v>1158.25</v>
      </c>
      <c r="Q9">
        <f t="shared" si="3"/>
        <v>36.933992346938773</v>
      </c>
      <c r="S9" s="1">
        <v>7</v>
      </c>
      <c r="T9" t="s">
        <v>5</v>
      </c>
      <c r="U9">
        <v>1158.25</v>
      </c>
    </row>
    <row r="10" spans="2:21" x14ac:dyDescent="0.25">
      <c r="B10" t="str">
        <f>PuntosBraacket!A8</f>
        <v>Narvex</v>
      </c>
      <c r="C10">
        <f t="shared" si="1"/>
        <v>11.165845648604268</v>
      </c>
      <c r="D10">
        <f t="shared" si="4"/>
        <v>32.776227678571423</v>
      </c>
      <c r="G10">
        <f t="shared" si="0"/>
        <v>43.942073327175692</v>
      </c>
      <c r="H10" s="1">
        <v>9</v>
      </c>
      <c r="J10" s="4">
        <f>PuntosBraacket!B8</f>
        <v>1360</v>
      </c>
      <c r="L10">
        <f>(J10*100/J3)</f>
        <v>74.438970990695125</v>
      </c>
      <c r="M10">
        <f t="shared" si="2"/>
        <v>76.275939427930453</v>
      </c>
      <c r="O10">
        <f>PlayerResults!H69</f>
        <v>1209.25</v>
      </c>
      <c r="Q10">
        <f t="shared" si="3"/>
        <v>38.560267857142854</v>
      </c>
      <c r="S10" s="1">
        <v>8</v>
      </c>
      <c r="T10" t="s">
        <v>9</v>
      </c>
      <c r="U10">
        <v>958.75</v>
      </c>
    </row>
    <row r="11" spans="2:21" x14ac:dyDescent="0.25">
      <c r="B11" t="str">
        <f>PuntosBraacket!A9</f>
        <v>Saviir</v>
      </c>
      <c r="C11">
        <f t="shared" si="1"/>
        <v>10.845648604269295</v>
      </c>
      <c r="D11">
        <f t="shared" si="4"/>
        <v>25.512197066326529</v>
      </c>
      <c r="G11">
        <f t="shared" si="0"/>
        <v>36.357845670595822</v>
      </c>
      <c r="H11" s="1">
        <v>8</v>
      </c>
      <c r="J11" s="4">
        <f>PuntosBraacket!B9</f>
        <v>1321</v>
      </c>
      <c r="L11">
        <f>(J11*100/J3)</f>
        <v>72.304324028461963</v>
      </c>
      <c r="M11">
        <f t="shared" si="2"/>
        <v>74.088614694335391</v>
      </c>
      <c r="O11">
        <f>PlayerResults!L69</f>
        <v>941.25</v>
      </c>
      <c r="Q11">
        <f t="shared" si="3"/>
        <v>30.014349489795919</v>
      </c>
      <c r="S11" s="1">
        <v>9</v>
      </c>
      <c r="T11" t="s">
        <v>52</v>
      </c>
      <c r="U11">
        <v>953.5</v>
      </c>
    </row>
    <row r="12" spans="2:21" x14ac:dyDescent="0.25">
      <c r="B12" t="str">
        <f>PuntosBraacket!A10</f>
        <v>Diexter</v>
      </c>
      <c r="C12">
        <f t="shared" si="1"/>
        <v>10.796387520525451</v>
      </c>
      <c r="D12">
        <f t="shared" si="4"/>
        <v>25.844228316326529</v>
      </c>
      <c r="G12">
        <f t="shared" si="0"/>
        <v>36.640615836851978</v>
      </c>
      <c r="H12" s="1">
        <v>10</v>
      </c>
      <c r="J12" s="4">
        <f>PuntosBraacket!B10</f>
        <v>1315</v>
      </c>
      <c r="L12">
        <f>(J12*100/J3)</f>
        <v>71.975916803503011</v>
      </c>
      <c r="M12">
        <f t="shared" si="2"/>
        <v>73.752103196859224</v>
      </c>
      <c r="O12">
        <f>PlayerResults!I69</f>
        <v>953.5</v>
      </c>
      <c r="Q12">
        <f t="shared" si="3"/>
        <v>30.404974489795919</v>
      </c>
      <c r="S12" s="1">
        <v>10</v>
      </c>
      <c r="T12" t="s">
        <v>11</v>
      </c>
      <c r="U12">
        <v>941.25</v>
      </c>
    </row>
    <row r="13" spans="2:21" x14ac:dyDescent="0.25">
      <c r="B13" t="str">
        <f>PuntosBraacket!A11</f>
        <v>Mask</v>
      </c>
      <c r="C13">
        <f t="shared" si="1"/>
        <v>10.279146141215106</v>
      </c>
      <c r="D13">
        <f t="shared" si="4"/>
        <v>25.98652742346939</v>
      </c>
      <c r="G13">
        <f t="shared" si="0"/>
        <v>36.265673564684498</v>
      </c>
      <c r="H13" s="1">
        <v>11</v>
      </c>
      <c r="J13" s="4">
        <f>PuntosBraacket!B11</f>
        <v>1252</v>
      </c>
      <c r="L13">
        <f>(J13*100/J3)</f>
        <v>68.527640941434043</v>
      </c>
      <c r="M13">
        <f t="shared" si="2"/>
        <v>70.218732473359509</v>
      </c>
      <c r="O13">
        <f>PlayerResults!J69</f>
        <v>958.75</v>
      </c>
      <c r="Q13">
        <f t="shared" si="3"/>
        <v>30.572385204081634</v>
      </c>
      <c r="S13" s="1">
        <v>11</v>
      </c>
      <c r="T13" t="s">
        <v>13</v>
      </c>
      <c r="U13">
        <v>861.5</v>
      </c>
    </row>
    <row r="14" spans="2:21" x14ac:dyDescent="0.25">
      <c r="B14" t="str">
        <f>PuntosBraacket!A12</f>
        <v>Adryx</v>
      </c>
      <c r="C14">
        <f t="shared" si="1"/>
        <v>9.860426929392446</v>
      </c>
      <c r="D14">
        <f t="shared" si="4"/>
        <v>19.176498724489797</v>
      </c>
      <c r="G14">
        <f t="shared" si="0"/>
        <v>29.036925653882243</v>
      </c>
      <c r="H14" s="1">
        <v>12</v>
      </c>
      <c r="J14" s="4">
        <f>PuntosBraacket!B12</f>
        <v>1201</v>
      </c>
      <c r="L14">
        <f>(J14*100/J3)</f>
        <v>65.736179529282978</v>
      </c>
      <c r="M14">
        <f t="shared" si="2"/>
        <v>67.358384744812113</v>
      </c>
      <c r="O14">
        <f>PlayerResults!O69</f>
        <v>707.5</v>
      </c>
      <c r="Q14">
        <f>(O14*100)/$O$3</f>
        <v>22.560586734693878</v>
      </c>
      <c r="S14" s="1">
        <v>12</v>
      </c>
      <c r="T14" t="s">
        <v>4</v>
      </c>
      <c r="U14">
        <v>754.75</v>
      </c>
    </row>
    <row r="15" spans="2:21" x14ac:dyDescent="0.25">
      <c r="B15" t="str">
        <f>PuntosBraacket!A13</f>
        <v>Rin</v>
      </c>
      <c r="C15">
        <f t="shared" si="1"/>
        <v>9.7947454844006554</v>
      </c>
      <c r="D15">
        <f t="shared" si="4"/>
        <v>11.644810267857142</v>
      </c>
      <c r="G15">
        <f t="shared" si="0"/>
        <v>21.439555752257796</v>
      </c>
      <c r="H15" s="1">
        <v>13</v>
      </c>
      <c r="J15" s="4">
        <f>PuntosBraacket!B13</f>
        <v>1193</v>
      </c>
      <c r="L15">
        <f>(J15*100/J3)</f>
        <v>65.298303229337705</v>
      </c>
      <c r="M15">
        <f t="shared" si="2"/>
        <v>66.909702748177224</v>
      </c>
      <c r="O15">
        <f>PlayerResults!M69</f>
        <v>429.625</v>
      </c>
      <c r="Q15">
        <f t="shared" si="3"/>
        <v>13.699776785714286</v>
      </c>
      <c r="S15" s="1">
        <v>13</v>
      </c>
      <c r="T15" t="s">
        <v>53</v>
      </c>
      <c r="U15">
        <v>707.5</v>
      </c>
    </row>
    <row r="16" spans="2:21" x14ac:dyDescent="0.25">
      <c r="B16" t="str">
        <f>PuntosBraacket!A14</f>
        <v>Nycolast</v>
      </c>
      <c r="C16">
        <f t="shared" si="1"/>
        <v>9.5977011494252871</v>
      </c>
      <c r="D16">
        <f t="shared" si="4"/>
        <v>16.289859693877553</v>
      </c>
      <c r="G16">
        <f t="shared" si="0"/>
        <v>25.88756084330284</v>
      </c>
      <c r="H16" s="1">
        <v>14</v>
      </c>
      <c r="J16" s="4">
        <f>PuntosBraacket!B14</f>
        <v>1169</v>
      </c>
      <c r="L16">
        <f>(J16*100/J3)</f>
        <v>63.984674329501914</v>
      </c>
      <c r="M16">
        <f t="shared" si="2"/>
        <v>65.563656758272572</v>
      </c>
      <c r="O16">
        <f>PlayerResults!Q69</f>
        <v>601</v>
      </c>
      <c r="Q16">
        <f>(O16*100)/$O$3</f>
        <v>19.164540816326532</v>
      </c>
      <c r="S16" s="1">
        <v>14</v>
      </c>
      <c r="T16" t="s">
        <v>55</v>
      </c>
      <c r="U16">
        <v>601</v>
      </c>
    </row>
    <row r="17" spans="1:21" x14ac:dyDescent="0.25">
      <c r="B17" t="str">
        <f>PuntosBraacket!A15</f>
        <v>Gzuto</v>
      </c>
      <c r="C17">
        <f t="shared" si="1"/>
        <v>9.376026272577997</v>
      </c>
      <c r="D17">
        <f t="shared" si="4"/>
        <v>6.4102359693877551</v>
      </c>
      <c r="G17">
        <f t="shared" si="0"/>
        <v>15.786262241965751</v>
      </c>
      <c r="H17" s="1">
        <v>15</v>
      </c>
      <c r="J17" s="4">
        <f>PuntosBraacket!B15</f>
        <v>1142</v>
      </c>
      <c r="L17">
        <f>(J17*100/J3)</f>
        <v>62.506841817186647</v>
      </c>
      <c r="M17">
        <f t="shared" si="2"/>
        <v>64.049355019629843</v>
      </c>
      <c r="O17">
        <f>PlayerResults!S69</f>
        <v>236.5</v>
      </c>
      <c r="Q17">
        <f t="shared" si="3"/>
        <v>7.5414540816326534</v>
      </c>
      <c r="S17" s="1">
        <v>15</v>
      </c>
      <c r="T17" t="s">
        <v>59</v>
      </c>
      <c r="U17">
        <v>459.25</v>
      </c>
    </row>
    <row r="18" spans="1:21" x14ac:dyDescent="0.25">
      <c r="B18" t="str">
        <f>PuntosBraacket!A16</f>
        <v>Frewe10</v>
      </c>
      <c r="C18">
        <f t="shared" si="1"/>
        <v>9.2200328407224958</v>
      </c>
      <c r="D18">
        <f t="shared" si="4"/>
        <v>23.350605867346939</v>
      </c>
      <c r="G18">
        <f t="shared" si="0"/>
        <v>32.570638708069438</v>
      </c>
      <c r="H18" s="1">
        <v>16</v>
      </c>
      <c r="J18" s="4">
        <f>PuntosBraacket!B16</f>
        <v>1123</v>
      </c>
      <c r="L18">
        <f>(J18*100/J3)</f>
        <v>61.466885604816639</v>
      </c>
      <c r="M18">
        <f t="shared" si="2"/>
        <v>62.983735277621989</v>
      </c>
      <c r="O18">
        <f>PlayerResults!U69</f>
        <v>861.5</v>
      </c>
      <c r="Q18">
        <f t="shared" si="3"/>
        <v>27.471301020408163</v>
      </c>
      <c r="S18" s="1">
        <v>16</v>
      </c>
      <c r="T18" t="s">
        <v>10</v>
      </c>
      <c r="U18">
        <v>429.625</v>
      </c>
    </row>
    <row r="19" spans="1:21" x14ac:dyDescent="0.25">
      <c r="B19" t="str">
        <f>PuntosBraacket!A17</f>
        <v>EnzoAR</v>
      </c>
      <c r="C19">
        <f t="shared" si="1"/>
        <v>9.014778325123153</v>
      </c>
      <c r="D19">
        <f t="shared" si="4"/>
        <v>11.556720344387754</v>
      </c>
      <c r="G19">
        <f t="shared" si="0"/>
        <v>20.571498669510909</v>
      </c>
      <c r="H19" s="1">
        <v>17</v>
      </c>
      <c r="J19" s="4">
        <f>PuntosBraacket!B17</f>
        <v>1098</v>
      </c>
      <c r="L19">
        <f>(J19*100/J3)</f>
        <v>60.098522167487687</v>
      </c>
      <c r="M19">
        <f t="shared" si="2"/>
        <v>61.581604038137968</v>
      </c>
      <c r="O19">
        <f>PlayerResults!R69</f>
        <v>426.375</v>
      </c>
      <c r="Q19">
        <f t="shared" si="3"/>
        <v>13.596141581632653</v>
      </c>
      <c r="S19" s="1">
        <v>17</v>
      </c>
      <c r="T19" t="s">
        <v>56</v>
      </c>
      <c r="U19">
        <v>426.375</v>
      </c>
    </row>
    <row r="20" spans="1:21" x14ac:dyDescent="0.25">
      <c r="B20" t="str">
        <f>PuntosBraacket!A18</f>
        <v>Sombreitor</v>
      </c>
      <c r="C20">
        <f t="shared" si="1"/>
        <v>8.5632183908045967</v>
      </c>
      <c r="D20">
        <f t="shared" si="4"/>
        <v>11.519451530612246</v>
      </c>
      <c r="G20">
        <f t="shared" si="0"/>
        <v>20.082669921416844</v>
      </c>
      <c r="H20" s="1">
        <v>18</v>
      </c>
      <c r="J20" s="4">
        <f>PuntosBraacket!B18</f>
        <v>1043</v>
      </c>
      <c r="L20">
        <f>(J20*100/J3)</f>
        <v>57.088122605363985</v>
      </c>
      <c r="M20">
        <f t="shared" si="2"/>
        <v>58.496915311273135</v>
      </c>
      <c r="O20">
        <f>PlayerResults!P69</f>
        <v>425</v>
      </c>
      <c r="Q20">
        <f t="shared" si="3"/>
        <v>13.552295918367347</v>
      </c>
      <c r="S20" s="1">
        <v>18</v>
      </c>
      <c r="T20" t="s">
        <v>54</v>
      </c>
      <c r="U20">
        <v>425</v>
      </c>
    </row>
    <row r="21" spans="1:21" x14ac:dyDescent="0.25">
      <c r="B21" t="str">
        <f>PuntosBraacket!A19</f>
        <v>Hakko</v>
      </c>
      <c r="C21">
        <f t="shared" si="1"/>
        <v>8.0623973727422005</v>
      </c>
      <c r="D21">
        <f t="shared" si="4"/>
        <v>7.0099250637755102</v>
      </c>
      <c r="G21">
        <f t="shared" si="0"/>
        <v>15.072322436517711</v>
      </c>
      <c r="H21" s="1">
        <v>19</v>
      </c>
      <c r="J21" s="4">
        <f>PuntosBraacket!B19</f>
        <v>982</v>
      </c>
      <c r="L21">
        <f>(J21*100/J3)</f>
        <v>53.749315818281339</v>
      </c>
      <c r="M21">
        <f t="shared" si="2"/>
        <v>55.075715086932135</v>
      </c>
      <c r="O21">
        <f>PlayerResults!N69</f>
        <v>258.625</v>
      </c>
      <c r="Q21">
        <f t="shared" si="3"/>
        <v>8.2469706632653068</v>
      </c>
      <c r="S21" s="1">
        <v>19</v>
      </c>
      <c r="T21" t="s">
        <v>103</v>
      </c>
      <c r="U21">
        <v>258.625</v>
      </c>
    </row>
    <row r="22" spans="1:21" x14ac:dyDescent="0.25">
      <c r="B22" t="str">
        <f>PuntosBraacket!A20</f>
        <v>Hanival15</v>
      </c>
      <c r="C22">
        <f t="shared" si="1"/>
        <v>7.7339901477832509</v>
      </c>
      <c r="D22">
        <f t="shared" si="4"/>
        <v>12.447783801020407</v>
      </c>
      <c r="G22">
        <f t="shared" si="0"/>
        <v>20.181773948803659</v>
      </c>
      <c r="H22" s="1">
        <v>20</v>
      </c>
      <c r="J22" s="4">
        <f>PuntosBraacket!B20</f>
        <v>942</v>
      </c>
      <c r="L22">
        <f>(J22*100/J3)</f>
        <v>51.559934318555008</v>
      </c>
      <c r="M22">
        <f t="shared" si="2"/>
        <v>52.832305103757712</v>
      </c>
      <c r="O22">
        <f>PlayerResults!W69</f>
        <v>459.25</v>
      </c>
      <c r="Q22">
        <f t="shared" si="3"/>
        <v>14.644451530612244</v>
      </c>
      <c r="S22" s="1">
        <v>20</v>
      </c>
      <c r="T22" t="s">
        <v>57</v>
      </c>
      <c r="U22">
        <v>236.5</v>
      </c>
    </row>
    <row r="23" spans="1:21" x14ac:dyDescent="0.25">
      <c r="B23" t="str">
        <f>PuntosBraacket!A21</f>
        <v>Traum</v>
      </c>
      <c r="C23">
        <f t="shared" si="1"/>
        <v>7.6765188834154348</v>
      </c>
      <c r="D23">
        <f t="shared" si="4"/>
        <v>1.0943478954081631</v>
      </c>
      <c r="G23">
        <f t="shared" si="0"/>
        <v>8.7708667788235974</v>
      </c>
      <c r="H23" s="1">
        <v>21</v>
      </c>
      <c r="J23" s="4">
        <f>PuntosBraacket!B21</f>
        <v>935</v>
      </c>
      <c r="L23">
        <f>(J23*100/J3)</f>
        <v>51.176792556102903</v>
      </c>
      <c r="M23">
        <f t="shared" si="2"/>
        <v>52.439708356702184</v>
      </c>
      <c r="O23">
        <f>PlayerResults!V69</f>
        <v>40.375</v>
      </c>
      <c r="Q23">
        <f t="shared" si="3"/>
        <v>1.2874681122448979</v>
      </c>
      <c r="S23" s="1">
        <v>21</v>
      </c>
      <c r="T23" t="s">
        <v>12</v>
      </c>
      <c r="U23">
        <v>40.375</v>
      </c>
    </row>
    <row r="24" spans="1:21" x14ac:dyDescent="0.25">
      <c r="H24" s="1"/>
      <c r="J24" s="4"/>
    </row>
    <row r="27" spans="1:21" x14ac:dyDescent="0.25">
      <c r="B27" t="s">
        <v>50</v>
      </c>
    </row>
    <row r="28" spans="1:21" x14ac:dyDescent="0.25">
      <c r="A28" s="1">
        <v>1</v>
      </c>
      <c r="B28" t="s">
        <v>0</v>
      </c>
      <c r="D28">
        <v>100</v>
      </c>
    </row>
    <row r="29" spans="1:21" x14ac:dyDescent="0.25">
      <c r="A29" s="1">
        <v>2</v>
      </c>
      <c r="B29" t="s">
        <v>2</v>
      </c>
      <c r="D29">
        <v>88.803691465810459</v>
      </c>
    </row>
    <row r="30" spans="1:21" x14ac:dyDescent="0.25">
      <c r="A30" s="1">
        <v>3</v>
      </c>
      <c r="B30" t="s">
        <v>1</v>
      </c>
      <c r="D30">
        <v>78.929991716514181</v>
      </c>
    </row>
    <row r="31" spans="1:21" x14ac:dyDescent="0.25">
      <c r="A31" s="1">
        <v>4</v>
      </c>
      <c r="B31" t="s">
        <v>3</v>
      </c>
      <c r="D31">
        <v>63.416598859371334</v>
      </c>
    </row>
    <row r="32" spans="1:21" x14ac:dyDescent="0.25">
      <c r="A32" s="1">
        <v>5</v>
      </c>
      <c r="B32" t="s">
        <v>7</v>
      </c>
      <c r="D32">
        <v>46.192070578231295</v>
      </c>
    </row>
    <row r="33" spans="1:4" x14ac:dyDescent="0.25">
      <c r="A33" s="1">
        <v>6</v>
      </c>
      <c r="B33" t="s">
        <v>8</v>
      </c>
      <c r="D33">
        <v>43.942073327175692</v>
      </c>
    </row>
    <row r="34" spans="1:4" x14ac:dyDescent="0.25">
      <c r="A34" s="1">
        <v>7</v>
      </c>
      <c r="B34" t="s">
        <v>5</v>
      </c>
      <c r="D34">
        <v>43.060560161564624</v>
      </c>
    </row>
    <row r="35" spans="1:4" x14ac:dyDescent="0.25">
      <c r="A35" s="1">
        <v>8</v>
      </c>
      <c r="B35" t="s">
        <v>52</v>
      </c>
      <c r="D35">
        <v>36.640615836851978</v>
      </c>
    </row>
    <row r="36" spans="1:4" x14ac:dyDescent="0.25">
      <c r="A36" s="1">
        <v>9</v>
      </c>
      <c r="B36" t="s">
        <v>11</v>
      </c>
      <c r="D36">
        <v>36.357845670595822</v>
      </c>
    </row>
    <row r="37" spans="1:4" x14ac:dyDescent="0.25">
      <c r="A37" s="1">
        <v>10</v>
      </c>
      <c r="B37" t="s">
        <v>9</v>
      </c>
      <c r="D37">
        <v>36.265673564684498</v>
      </c>
    </row>
    <row r="38" spans="1:4" x14ac:dyDescent="0.25">
      <c r="A38" s="1">
        <v>11</v>
      </c>
      <c r="B38" t="s">
        <v>4</v>
      </c>
      <c r="D38">
        <v>32.879193972847759</v>
      </c>
    </row>
    <row r="39" spans="1:4" x14ac:dyDescent="0.25">
      <c r="A39" s="1">
        <v>12</v>
      </c>
      <c r="B39" t="s">
        <v>13</v>
      </c>
      <c r="D39">
        <v>32.570638708069438</v>
      </c>
    </row>
    <row r="40" spans="1:4" x14ac:dyDescent="0.25">
      <c r="A40" s="1">
        <v>13</v>
      </c>
      <c r="B40" t="s">
        <v>53</v>
      </c>
      <c r="D40">
        <v>29.036925653882243</v>
      </c>
    </row>
    <row r="41" spans="1:4" x14ac:dyDescent="0.25">
      <c r="A41" s="1">
        <v>14</v>
      </c>
      <c r="B41" t="s">
        <v>55</v>
      </c>
      <c r="D41">
        <v>25.88756084330284</v>
      </c>
    </row>
    <row r="42" spans="1:4" x14ac:dyDescent="0.25">
      <c r="A42" s="1">
        <v>15</v>
      </c>
      <c r="B42" t="s">
        <v>10</v>
      </c>
      <c r="D42">
        <v>21.439555752257796</v>
      </c>
    </row>
    <row r="43" spans="1:4" x14ac:dyDescent="0.25">
      <c r="A43" s="1">
        <v>16</v>
      </c>
      <c r="B43" t="s">
        <v>56</v>
      </c>
      <c r="D43">
        <v>20.571498669510909</v>
      </c>
    </row>
    <row r="44" spans="1:4" x14ac:dyDescent="0.25">
      <c r="A44" s="1">
        <v>17</v>
      </c>
      <c r="B44" t="s">
        <v>59</v>
      </c>
      <c r="D44">
        <v>20.181773948803659</v>
      </c>
    </row>
    <row r="45" spans="1:4" x14ac:dyDescent="0.25">
      <c r="A45" s="1">
        <v>18</v>
      </c>
      <c r="B45" t="s">
        <v>54</v>
      </c>
      <c r="D45">
        <v>20.082669921416844</v>
      </c>
    </row>
    <row r="46" spans="1:4" x14ac:dyDescent="0.25">
      <c r="A46" s="1">
        <v>19</v>
      </c>
      <c r="B46" t="s">
        <v>57</v>
      </c>
      <c r="D46">
        <v>15.786262241965751</v>
      </c>
    </row>
    <row r="47" spans="1:4" x14ac:dyDescent="0.25">
      <c r="A47" s="1">
        <v>20</v>
      </c>
      <c r="B47" t="s">
        <v>103</v>
      </c>
      <c r="D47">
        <v>15.072322436517711</v>
      </c>
    </row>
    <row r="48" spans="1:4" x14ac:dyDescent="0.25">
      <c r="A48" s="1">
        <v>21</v>
      </c>
      <c r="B48" t="s">
        <v>12</v>
      </c>
      <c r="D48">
        <v>8.7708667788235974</v>
      </c>
    </row>
    <row r="49" spans="1:1" x14ac:dyDescent="0.25">
      <c r="A49" s="1"/>
    </row>
  </sheetData>
  <sortState xmlns:xlrd2="http://schemas.microsoft.com/office/spreadsheetml/2017/richdata2" ref="B28:D48">
    <sortCondition descending="1" ref="D28:D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7222-495A-42A5-8C26-29B739D7A8CD}">
  <dimension ref="A1:O35"/>
  <sheetViews>
    <sheetView workbookViewId="0"/>
  </sheetViews>
  <sheetFormatPr defaultColWidth="11.42578125" defaultRowHeight="15" x14ac:dyDescent="0.25"/>
  <sheetData>
    <row r="1" spans="1:8" x14ac:dyDescent="0.25">
      <c r="A1" t="s">
        <v>25</v>
      </c>
      <c r="B1" t="s">
        <v>26</v>
      </c>
      <c r="C1" t="s">
        <v>27</v>
      </c>
    </row>
    <row r="2" spans="1:8" x14ac:dyDescent="0.25">
      <c r="A2" t="s">
        <v>60</v>
      </c>
      <c r="B2">
        <v>1482</v>
      </c>
      <c r="C2">
        <v>52</v>
      </c>
      <c r="D2" s="1" t="s">
        <v>68</v>
      </c>
      <c r="F2" t="str">
        <f>A2</f>
        <v>AoT</v>
      </c>
      <c r="G2">
        <f>B2</f>
        <v>1482</v>
      </c>
      <c r="H2">
        <f>G2*100/G2</f>
        <v>100</v>
      </c>
    </row>
    <row r="3" spans="1:8" x14ac:dyDescent="0.25">
      <c r="A3" t="s">
        <v>61</v>
      </c>
      <c r="B3">
        <v>428</v>
      </c>
      <c r="C3">
        <v>19</v>
      </c>
      <c r="D3" s="1" t="s">
        <v>69</v>
      </c>
      <c r="F3" t="str">
        <f t="shared" ref="F3:F20" si="0">A3</f>
        <v>CoD5</v>
      </c>
      <c r="G3">
        <f t="shared" ref="G3:G20" si="1">B3</f>
        <v>428</v>
      </c>
      <c r="H3">
        <f>G3*100/G2</f>
        <v>28.879892037786774</v>
      </c>
    </row>
    <row r="4" spans="1:8" x14ac:dyDescent="0.25">
      <c r="A4" t="s">
        <v>62</v>
      </c>
      <c r="B4">
        <v>430</v>
      </c>
      <c r="C4">
        <v>21</v>
      </c>
      <c r="D4" s="1" t="s">
        <v>69</v>
      </c>
      <c r="F4" t="str">
        <f t="shared" si="0"/>
        <v>Plátano</v>
      </c>
      <c r="G4">
        <f t="shared" si="1"/>
        <v>430</v>
      </c>
      <c r="H4">
        <f>G4*100/G2</f>
        <v>29.014844804318489</v>
      </c>
    </row>
    <row r="5" spans="1:8" x14ac:dyDescent="0.25">
      <c r="A5" t="s">
        <v>63</v>
      </c>
      <c r="B5">
        <v>646</v>
      </c>
      <c r="C5">
        <v>28</v>
      </c>
      <c r="D5" s="1" t="s">
        <v>69</v>
      </c>
      <c r="F5" t="str">
        <f t="shared" si="0"/>
        <v>CoD6</v>
      </c>
      <c r="G5">
        <f t="shared" si="1"/>
        <v>646</v>
      </c>
      <c r="H5">
        <f>G5*100/G2</f>
        <v>43.589743589743591</v>
      </c>
    </row>
    <row r="6" spans="1:8" x14ac:dyDescent="0.25">
      <c r="A6" t="s">
        <v>64</v>
      </c>
      <c r="B6">
        <v>820</v>
      </c>
      <c r="C6">
        <v>37</v>
      </c>
      <c r="D6" s="1" t="s">
        <v>68</v>
      </c>
      <c r="F6" t="str">
        <f t="shared" si="0"/>
        <v>CoD7</v>
      </c>
      <c r="G6">
        <f t="shared" si="1"/>
        <v>820</v>
      </c>
      <c r="H6">
        <f>G6*100/G2</f>
        <v>55.330634278002698</v>
      </c>
    </row>
    <row r="7" spans="1:8" x14ac:dyDescent="0.25">
      <c r="A7" t="s">
        <v>65</v>
      </c>
      <c r="B7">
        <v>694</v>
      </c>
      <c r="C7">
        <v>31</v>
      </c>
      <c r="D7" s="1" t="s">
        <v>69</v>
      </c>
      <c r="F7" t="str">
        <f t="shared" si="0"/>
        <v>Caparazón</v>
      </c>
      <c r="G7">
        <f t="shared" si="1"/>
        <v>694</v>
      </c>
      <c r="H7">
        <f>G7*100/G2</f>
        <v>46.828609986504723</v>
      </c>
    </row>
    <row r="8" spans="1:8" x14ac:dyDescent="0.25">
      <c r="A8" t="s">
        <v>66</v>
      </c>
      <c r="B8">
        <v>708</v>
      </c>
      <c r="C8">
        <v>30</v>
      </c>
      <c r="D8" s="1" t="s">
        <v>69</v>
      </c>
      <c r="F8" t="str">
        <f t="shared" si="0"/>
        <v>CoD8</v>
      </c>
      <c r="G8">
        <f t="shared" si="1"/>
        <v>708</v>
      </c>
      <c r="H8">
        <f>G8*100/G2</f>
        <v>47.773279352226723</v>
      </c>
    </row>
    <row r="9" spans="1:8" x14ac:dyDescent="0.25">
      <c r="A9" s="7" t="s">
        <v>67</v>
      </c>
      <c r="B9" s="7">
        <v>612</v>
      </c>
      <c r="C9" s="7">
        <v>24</v>
      </c>
      <c r="D9" s="3" t="s">
        <v>69</v>
      </c>
      <c r="F9" t="str">
        <f t="shared" si="0"/>
        <v>CoD9</v>
      </c>
      <c r="G9">
        <f t="shared" si="1"/>
        <v>612</v>
      </c>
      <c r="H9">
        <f>G9*100/G2</f>
        <v>41.295546558704451</v>
      </c>
    </row>
    <row r="10" spans="1:8" x14ac:dyDescent="0.25">
      <c r="A10" t="s">
        <v>138</v>
      </c>
      <c r="B10">
        <v>350</v>
      </c>
      <c r="C10">
        <v>16</v>
      </c>
      <c r="D10" s="1" t="s">
        <v>69</v>
      </c>
      <c r="F10" t="str">
        <f t="shared" si="0"/>
        <v>Hoja</v>
      </c>
      <c r="G10">
        <f t="shared" si="1"/>
        <v>350</v>
      </c>
      <c r="H10">
        <f>G10*100/G2</f>
        <v>23.616734143049932</v>
      </c>
    </row>
    <row r="11" spans="1:8" x14ac:dyDescent="0.25">
      <c r="A11" t="s">
        <v>139</v>
      </c>
      <c r="B11">
        <f>(21*14)+50</f>
        <v>344</v>
      </c>
      <c r="C11">
        <v>14</v>
      </c>
      <c r="D11" s="1" t="s">
        <v>140</v>
      </c>
      <c r="F11" t="str">
        <f t="shared" si="0"/>
        <v>Centella</v>
      </c>
      <c r="G11">
        <f t="shared" si="1"/>
        <v>344</v>
      </c>
      <c r="H11">
        <f>G11*100/G2</f>
        <v>23.211875843454791</v>
      </c>
    </row>
    <row r="12" spans="1:8" x14ac:dyDescent="0.25">
      <c r="A12" t="s">
        <v>143</v>
      </c>
      <c r="B12">
        <v>892</v>
      </c>
      <c r="C12">
        <v>41</v>
      </c>
      <c r="D12" s="1" t="s">
        <v>68</v>
      </c>
      <c r="F12" t="str">
        <f t="shared" si="0"/>
        <v>CoD10</v>
      </c>
      <c r="G12">
        <f t="shared" si="1"/>
        <v>892</v>
      </c>
      <c r="H12">
        <f>G12*100/G2</f>
        <v>60.1889338731444</v>
      </c>
    </row>
    <row r="13" spans="1:8" x14ac:dyDescent="0.25">
      <c r="A13" t="s">
        <v>141</v>
      </c>
      <c r="B13">
        <v>602</v>
      </c>
      <c r="C13">
        <v>21</v>
      </c>
      <c r="D13" s="1" t="s">
        <v>69</v>
      </c>
      <c r="F13" t="str">
        <f t="shared" si="0"/>
        <v>Huevo</v>
      </c>
      <c r="G13">
        <f t="shared" si="1"/>
        <v>602</v>
      </c>
      <c r="H13">
        <f>G13*100/G2</f>
        <v>40.620782726045881</v>
      </c>
    </row>
    <row r="14" spans="1:8" x14ac:dyDescent="0.25">
      <c r="A14" t="s">
        <v>142</v>
      </c>
      <c r="B14">
        <v>430</v>
      </c>
      <c r="C14">
        <v>21</v>
      </c>
      <c r="D14" s="1" t="s">
        <v>69</v>
      </c>
      <c r="F14" t="str">
        <f t="shared" si="0"/>
        <v>CoD11</v>
      </c>
      <c r="G14">
        <f t="shared" si="1"/>
        <v>430</v>
      </c>
      <c r="H14">
        <f>G14*100/G2</f>
        <v>29.014844804318489</v>
      </c>
    </row>
    <row r="15" spans="1:8" x14ac:dyDescent="0.25">
      <c r="A15" t="s">
        <v>144</v>
      </c>
      <c r="B15">
        <v>414</v>
      </c>
      <c r="C15">
        <v>20</v>
      </c>
      <c r="D15" s="1" t="s">
        <v>69</v>
      </c>
      <c r="F15" t="str">
        <f t="shared" si="0"/>
        <v>Crossing</v>
      </c>
      <c r="G15">
        <f t="shared" si="1"/>
        <v>414</v>
      </c>
      <c r="H15">
        <f>G15*100/G2</f>
        <v>27.935222672064778</v>
      </c>
    </row>
    <row r="16" spans="1:8" x14ac:dyDescent="0.25">
      <c r="A16" t="s">
        <v>145</v>
      </c>
      <c r="B16">
        <v>466</v>
      </c>
      <c r="C16">
        <v>17</v>
      </c>
      <c r="D16" s="1" t="s">
        <v>69</v>
      </c>
      <c r="F16" t="str">
        <f t="shared" si="0"/>
        <v>CoD12</v>
      </c>
      <c r="G16">
        <f t="shared" si="1"/>
        <v>466</v>
      </c>
      <c r="H16">
        <f>G16*100/G2</f>
        <v>31.44399460188934</v>
      </c>
    </row>
    <row r="17" spans="1:15" x14ac:dyDescent="0.25">
      <c r="A17" t="s">
        <v>146</v>
      </c>
      <c r="B17">
        <f>(21*12)+20</f>
        <v>272</v>
      </c>
      <c r="C17">
        <v>12</v>
      </c>
      <c r="D17" s="1" t="s">
        <v>140</v>
      </c>
      <c r="F17" t="str">
        <f t="shared" si="0"/>
        <v>Trifuerza</v>
      </c>
      <c r="G17">
        <f t="shared" si="1"/>
        <v>272</v>
      </c>
      <c r="H17">
        <f>G17*100/G2</f>
        <v>18.35357624831309</v>
      </c>
    </row>
    <row r="18" spans="1:15" x14ac:dyDescent="0.25">
      <c r="A18" t="s">
        <v>147</v>
      </c>
      <c r="B18">
        <v>378</v>
      </c>
      <c r="C18">
        <v>17</v>
      </c>
      <c r="D18" s="1" t="s">
        <v>69</v>
      </c>
      <c r="F18" t="str">
        <f t="shared" si="0"/>
        <v>CoD13</v>
      </c>
      <c r="G18">
        <f t="shared" si="1"/>
        <v>378</v>
      </c>
      <c r="H18">
        <f>G18*100/G2</f>
        <v>25.506072874493928</v>
      </c>
    </row>
    <row r="19" spans="1:15" x14ac:dyDescent="0.25">
      <c r="A19" t="s">
        <v>148</v>
      </c>
      <c r="B19">
        <f>(21*10)</f>
        <v>210</v>
      </c>
      <c r="C19">
        <v>10</v>
      </c>
      <c r="D19" s="1" t="s">
        <v>140</v>
      </c>
      <c r="F19" t="str">
        <f t="shared" si="0"/>
        <v>Campana</v>
      </c>
      <c r="G19">
        <f t="shared" si="1"/>
        <v>210</v>
      </c>
      <c r="H19">
        <f>G19*100/G2</f>
        <v>14.17004048582996</v>
      </c>
    </row>
    <row r="20" spans="1:15" x14ac:dyDescent="0.25">
      <c r="A20" t="s">
        <v>149</v>
      </c>
      <c r="B20">
        <v>822</v>
      </c>
      <c r="C20">
        <v>31</v>
      </c>
      <c r="D20" s="1" t="s">
        <v>68</v>
      </c>
      <c r="F20" t="str">
        <f t="shared" si="0"/>
        <v>PoD:TLS</v>
      </c>
      <c r="G20">
        <f t="shared" si="1"/>
        <v>822</v>
      </c>
      <c r="H20">
        <f>G20*100/G2</f>
        <v>55.465587044534416</v>
      </c>
    </row>
    <row r="24" spans="1:15" x14ac:dyDescent="0.25">
      <c r="A24" t="s">
        <v>36</v>
      </c>
      <c r="B24">
        <v>366</v>
      </c>
      <c r="C24">
        <v>17</v>
      </c>
      <c r="D24" t="s">
        <v>37</v>
      </c>
      <c r="G24">
        <f>B24/C24</f>
        <v>21.529411764705884</v>
      </c>
      <c r="H24">
        <f>21*16</f>
        <v>336</v>
      </c>
      <c r="J24" t="s">
        <v>51</v>
      </c>
    </row>
    <row r="25" spans="1:15" x14ac:dyDescent="0.25">
      <c r="A25" t="s">
        <v>38</v>
      </c>
      <c r="B25">
        <v>446</v>
      </c>
      <c r="C25">
        <v>22</v>
      </c>
      <c r="G25">
        <f>B25/C25</f>
        <v>20.272727272727273</v>
      </c>
      <c r="J25">
        <f>350/313</f>
        <v>1.1182108626198084</v>
      </c>
    </row>
    <row r="26" spans="1:15" x14ac:dyDescent="0.25">
      <c r="A26" t="s">
        <v>42</v>
      </c>
      <c r="B26">
        <v>350</v>
      </c>
      <c r="C26">
        <v>16</v>
      </c>
      <c r="D26" t="s">
        <v>39</v>
      </c>
      <c r="G26">
        <f>B26/C26</f>
        <v>21.875</v>
      </c>
    </row>
    <row r="27" spans="1:15" x14ac:dyDescent="0.25">
      <c r="A27" t="s">
        <v>41</v>
      </c>
      <c r="B27">
        <v>414</v>
      </c>
      <c r="C27">
        <v>20</v>
      </c>
      <c r="G27">
        <f>B27/C27</f>
        <v>20.7</v>
      </c>
    </row>
    <row r="28" spans="1:15" x14ac:dyDescent="0.25">
      <c r="A28" t="s">
        <v>43</v>
      </c>
      <c r="B28">
        <v>374</v>
      </c>
      <c r="C28">
        <v>16</v>
      </c>
      <c r="D28" t="s">
        <v>44</v>
      </c>
      <c r="F28">
        <f>(B28-B26)/2</f>
        <v>12</v>
      </c>
      <c r="G28">
        <f>(B28-(F28*2))/C28</f>
        <v>21.875</v>
      </c>
      <c r="N28" t="s">
        <v>20</v>
      </c>
      <c r="O28">
        <v>398</v>
      </c>
    </row>
    <row r="29" spans="1:15" x14ac:dyDescent="0.25">
      <c r="G29">
        <f>(G24+G25+G26+G27+G28)/5</f>
        <v>21.250427807486631</v>
      </c>
      <c r="N29" t="s">
        <v>23</v>
      </c>
      <c r="O29">
        <v>410</v>
      </c>
    </row>
    <row r="30" spans="1:15" x14ac:dyDescent="0.25">
      <c r="F30" t="s">
        <v>46</v>
      </c>
      <c r="G30" t="s">
        <v>45</v>
      </c>
      <c r="N30" t="s">
        <v>21</v>
      </c>
      <c r="O30">
        <f>O29-O28</f>
        <v>12</v>
      </c>
    </row>
    <row r="32" spans="1:15" x14ac:dyDescent="0.25">
      <c r="N32">
        <v>1</v>
      </c>
      <c r="O32">
        <f>O28/19</f>
        <v>20.94736842105263</v>
      </c>
    </row>
    <row r="33" spans="14:15" x14ac:dyDescent="0.25">
      <c r="N33" t="s">
        <v>22</v>
      </c>
      <c r="O33">
        <v>422</v>
      </c>
    </row>
    <row r="34" spans="14:15" x14ac:dyDescent="0.25">
      <c r="N34" t="s">
        <v>24</v>
      </c>
      <c r="O34">
        <f>O32*16</f>
        <v>335.15789473684208</v>
      </c>
    </row>
    <row r="35" spans="14:15" x14ac:dyDescent="0.25">
      <c r="N35" t="s">
        <v>40</v>
      </c>
      <c r="O35">
        <v>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A33C-D1FD-45CC-8F0F-A3414E4139C8}">
  <dimension ref="A1:AR97"/>
  <sheetViews>
    <sheetView topLeftCell="A68" workbookViewId="0">
      <selection activeCell="E58" sqref="E58"/>
    </sheetView>
  </sheetViews>
  <sheetFormatPr defaultColWidth="11.42578125" defaultRowHeight="15" x14ac:dyDescent="0.25"/>
  <cols>
    <col min="2" max="2" width="11.85546875" bestFit="1" customWidth="1"/>
    <col min="3" max="3" width="11.85546875" customWidth="1"/>
  </cols>
  <sheetData>
    <row r="1" spans="1:44" x14ac:dyDescent="0.25">
      <c r="A1" t="s">
        <v>25</v>
      </c>
      <c r="B1" t="s">
        <v>47</v>
      </c>
      <c r="C1" t="s">
        <v>27</v>
      </c>
      <c r="D1">
        <v>1</v>
      </c>
      <c r="E1">
        <v>2</v>
      </c>
      <c r="F1">
        <v>3</v>
      </c>
      <c r="G1">
        <v>4</v>
      </c>
      <c r="H1">
        <v>5</v>
      </c>
      <c r="I1">
        <v>5</v>
      </c>
      <c r="J1">
        <v>7</v>
      </c>
      <c r="K1">
        <v>7</v>
      </c>
      <c r="L1">
        <v>9</v>
      </c>
      <c r="M1">
        <v>9</v>
      </c>
      <c r="N1">
        <v>9</v>
      </c>
      <c r="O1">
        <v>9</v>
      </c>
      <c r="P1">
        <v>13</v>
      </c>
      <c r="Q1">
        <v>13</v>
      </c>
      <c r="R1">
        <v>13</v>
      </c>
      <c r="S1">
        <v>13</v>
      </c>
      <c r="T1">
        <v>17</v>
      </c>
      <c r="U1">
        <v>17</v>
      </c>
      <c r="V1">
        <v>17</v>
      </c>
      <c r="W1">
        <v>17</v>
      </c>
      <c r="X1">
        <v>17</v>
      </c>
      <c r="Y1">
        <v>17</v>
      </c>
      <c r="Z1">
        <v>17</v>
      </c>
      <c r="AA1">
        <v>17</v>
      </c>
      <c r="AB1">
        <v>25</v>
      </c>
      <c r="AC1">
        <v>25</v>
      </c>
      <c r="AD1">
        <v>25</v>
      </c>
      <c r="AE1">
        <v>25</v>
      </c>
      <c r="AF1">
        <v>25</v>
      </c>
      <c r="AG1">
        <v>25</v>
      </c>
      <c r="AH1">
        <v>25</v>
      </c>
      <c r="AI1">
        <v>25</v>
      </c>
      <c r="AJ1">
        <v>33</v>
      </c>
      <c r="AK1">
        <v>33</v>
      </c>
      <c r="AL1">
        <v>33</v>
      </c>
      <c r="AM1">
        <v>33</v>
      </c>
      <c r="AN1">
        <v>33</v>
      </c>
      <c r="AO1">
        <v>33</v>
      </c>
      <c r="AP1">
        <v>33</v>
      </c>
      <c r="AQ1">
        <v>33</v>
      </c>
      <c r="AR1">
        <v>49</v>
      </c>
    </row>
    <row r="2" spans="1:44" x14ac:dyDescent="0.25">
      <c r="A2" t="str">
        <f>TorneosScore!A2</f>
        <v>AoT</v>
      </c>
      <c r="B2">
        <f>TorneosScore!B2</f>
        <v>1482</v>
      </c>
      <c r="C2">
        <f>TorneosScore!C2</f>
        <v>52</v>
      </c>
      <c r="D2" s="5" t="s">
        <v>71</v>
      </c>
      <c r="E2" s="5" t="s">
        <v>72</v>
      </c>
      <c r="F2" s="6" t="s">
        <v>73</v>
      </c>
      <c r="G2" s="5" t="s">
        <v>74</v>
      </c>
      <c r="H2" s="5" t="s">
        <v>75</v>
      </c>
      <c r="I2" s="5" t="s">
        <v>76</v>
      </c>
      <c r="J2" s="5" t="s">
        <v>28</v>
      </c>
      <c r="K2" s="5" t="s">
        <v>77</v>
      </c>
      <c r="L2" s="5" t="s">
        <v>78</v>
      </c>
      <c r="M2" s="5" t="s">
        <v>79</v>
      </c>
      <c r="N2" s="5" t="s">
        <v>80</v>
      </c>
      <c r="O2" s="5" t="s">
        <v>81</v>
      </c>
      <c r="P2" s="5" t="s">
        <v>82</v>
      </c>
      <c r="Q2" s="5" t="s">
        <v>83</v>
      </c>
      <c r="R2" s="5" t="s">
        <v>84</v>
      </c>
      <c r="S2" s="5" t="s">
        <v>85</v>
      </c>
      <c r="T2" s="5" t="s">
        <v>86</v>
      </c>
      <c r="U2" s="4" t="s">
        <v>0</v>
      </c>
      <c r="V2" s="4" t="s">
        <v>3</v>
      </c>
      <c r="W2" s="5" t="s">
        <v>87</v>
      </c>
      <c r="X2" s="5" t="s">
        <v>88</v>
      </c>
      <c r="Y2" s="5" t="s">
        <v>89</v>
      </c>
      <c r="Z2" s="5" t="s">
        <v>90</v>
      </c>
      <c r="AA2" s="4" t="s">
        <v>2</v>
      </c>
      <c r="AB2" s="4" t="s">
        <v>4</v>
      </c>
      <c r="AC2" s="5" t="s">
        <v>92</v>
      </c>
      <c r="AD2" s="5" t="s">
        <v>91</v>
      </c>
      <c r="AE2" s="5" t="s">
        <v>93</v>
      </c>
      <c r="AF2" s="5" t="s">
        <v>94</v>
      </c>
      <c r="AG2" s="5" t="s">
        <v>95</v>
      </c>
      <c r="AH2" s="5" t="s">
        <v>96</v>
      </c>
      <c r="AI2" s="5" t="s">
        <v>97</v>
      </c>
      <c r="AJ2" s="4" t="s">
        <v>6</v>
      </c>
      <c r="AK2" s="4" t="s">
        <v>7</v>
      </c>
      <c r="AL2" s="4" t="s">
        <v>52</v>
      </c>
      <c r="AM2" s="4" t="s">
        <v>1</v>
      </c>
      <c r="AN2" s="4" t="s">
        <v>13</v>
      </c>
      <c r="AO2" s="4" t="s">
        <v>8</v>
      </c>
      <c r="AP2" s="4" t="s">
        <v>11</v>
      </c>
      <c r="AQ2" s="4" t="s">
        <v>12</v>
      </c>
      <c r="AR2" s="4" t="s">
        <v>55</v>
      </c>
    </row>
    <row r="3" spans="1:44" x14ac:dyDescent="0.25">
      <c r="A3" t="str">
        <f>TorneosScore!A3</f>
        <v>CoD5</v>
      </c>
      <c r="B3">
        <f>TorneosScore!B3</f>
        <v>428</v>
      </c>
      <c r="C3">
        <f>TorneosScore!C3</f>
        <v>19</v>
      </c>
      <c r="D3" s="6" t="s">
        <v>28</v>
      </c>
      <c r="E3" t="s">
        <v>1</v>
      </c>
      <c r="F3" t="s">
        <v>2</v>
      </c>
      <c r="G3" t="s">
        <v>3</v>
      </c>
      <c r="H3" t="s">
        <v>7</v>
      </c>
      <c r="I3" t="s">
        <v>9</v>
      </c>
      <c r="J3" s="6" t="s">
        <v>98</v>
      </c>
      <c r="K3" t="s">
        <v>8</v>
      </c>
      <c r="L3" t="s">
        <v>53</v>
      </c>
      <c r="M3" t="s">
        <v>52</v>
      </c>
      <c r="N3" t="s">
        <v>14</v>
      </c>
      <c r="O3" t="s">
        <v>10</v>
      </c>
      <c r="P3" t="s">
        <v>59</v>
      </c>
      <c r="Q3" t="s">
        <v>99</v>
      </c>
      <c r="R3" t="s">
        <v>55</v>
      </c>
      <c r="S3" t="s">
        <v>54</v>
      </c>
      <c r="T3" t="s">
        <v>13</v>
      </c>
      <c r="U3" t="s">
        <v>16</v>
      </c>
      <c r="V3" t="s">
        <v>100</v>
      </c>
    </row>
    <row r="4" spans="1:44" x14ac:dyDescent="0.25">
      <c r="A4" t="str">
        <f>TorneosScore!A4</f>
        <v>Plátano</v>
      </c>
      <c r="B4">
        <f>TorneosScore!B4</f>
        <v>430</v>
      </c>
      <c r="C4">
        <f>TorneosScore!C4</f>
        <v>21</v>
      </c>
      <c r="D4" t="s">
        <v>1</v>
      </c>
      <c r="E4" t="s">
        <v>4</v>
      </c>
      <c r="F4" t="s">
        <v>3</v>
      </c>
      <c r="G4" s="6" t="s">
        <v>97</v>
      </c>
      <c r="H4" s="6" t="s">
        <v>89</v>
      </c>
      <c r="I4" t="s">
        <v>8</v>
      </c>
      <c r="J4" t="s">
        <v>7</v>
      </c>
      <c r="K4" s="6" t="s">
        <v>101</v>
      </c>
      <c r="L4" s="6" t="s">
        <v>102</v>
      </c>
      <c r="M4" t="s">
        <v>57</v>
      </c>
      <c r="N4" t="s">
        <v>103</v>
      </c>
      <c r="O4" t="s">
        <v>11</v>
      </c>
      <c r="P4" s="6" t="s">
        <v>98</v>
      </c>
      <c r="Q4" t="s">
        <v>52</v>
      </c>
      <c r="R4" t="s">
        <v>56</v>
      </c>
      <c r="S4" t="s">
        <v>13</v>
      </c>
      <c r="T4" t="s">
        <v>55</v>
      </c>
      <c r="U4" t="s">
        <v>104</v>
      </c>
      <c r="V4" t="s">
        <v>105</v>
      </c>
      <c r="W4" t="s">
        <v>14</v>
      </c>
      <c r="X4" t="s">
        <v>99</v>
      </c>
    </row>
    <row r="5" spans="1:44" x14ac:dyDescent="0.25">
      <c r="A5" t="str">
        <f>TorneosScore!A5</f>
        <v>CoD6</v>
      </c>
      <c r="B5">
        <f>TorneosScore!B5</f>
        <v>646</v>
      </c>
      <c r="C5">
        <f>TorneosScore!C5</f>
        <v>28</v>
      </c>
      <c r="D5" s="6" t="s">
        <v>75</v>
      </c>
      <c r="E5" t="s">
        <v>0</v>
      </c>
      <c r="F5" s="6" t="s">
        <v>76</v>
      </c>
      <c r="G5" t="s">
        <v>1</v>
      </c>
      <c r="H5" s="6" t="s">
        <v>83</v>
      </c>
      <c r="I5" s="6" t="s">
        <v>106</v>
      </c>
      <c r="J5" t="s">
        <v>3</v>
      </c>
      <c r="K5" s="6" t="s">
        <v>107</v>
      </c>
      <c r="L5" s="6" t="s">
        <v>87</v>
      </c>
      <c r="M5" s="6" t="s">
        <v>108</v>
      </c>
      <c r="N5" s="6" t="s">
        <v>95</v>
      </c>
      <c r="O5" t="s">
        <v>2</v>
      </c>
      <c r="P5" t="s">
        <v>7</v>
      </c>
      <c r="Q5" t="s">
        <v>52</v>
      </c>
      <c r="R5" t="s">
        <v>8</v>
      </c>
      <c r="S5" t="s">
        <v>54</v>
      </c>
      <c r="T5" t="s">
        <v>53</v>
      </c>
      <c r="U5" t="s">
        <v>5</v>
      </c>
      <c r="V5" t="s">
        <v>59</v>
      </c>
      <c r="W5" t="s">
        <v>58</v>
      </c>
      <c r="X5" t="s">
        <v>9</v>
      </c>
      <c r="Y5" t="s">
        <v>10</v>
      </c>
      <c r="Z5" t="s">
        <v>11</v>
      </c>
      <c r="AA5" t="s">
        <v>12</v>
      </c>
      <c r="AB5" t="s">
        <v>109</v>
      </c>
      <c r="AC5" t="s">
        <v>13</v>
      </c>
      <c r="AD5" t="s">
        <v>110</v>
      </c>
      <c r="AE5" t="s">
        <v>100</v>
      </c>
    </row>
    <row r="6" spans="1:44" x14ac:dyDescent="0.25">
      <c r="A6" t="str">
        <f>TorneosScore!A6</f>
        <v>CoD7</v>
      </c>
      <c r="B6">
        <f>TorneosScore!B6</f>
        <v>820</v>
      </c>
      <c r="C6">
        <f>TorneosScore!C6</f>
        <v>37</v>
      </c>
      <c r="D6" s="6" t="s">
        <v>76</v>
      </c>
      <c r="E6" s="6" t="s">
        <v>75</v>
      </c>
      <c r="F6" s="6" t="s">
        <v>83</v>
      </c>
      <c r="G6" s="6" t="s">
        <v>106</v>
      </c>
      <c r="H6" s="6" t="s">
        <v>28</v>
      </c>
      <c r="I6" t="s">
        <v>0</v>
      </c>
      <c r="J6" s="6">
        <v>53845</v>
      </c>
      <c r="K6" t="s">
        <v>1</v>
      </c>
      <c r="L6" t="s">
        <v>4</v>
      </c>
      <c r="M6" s="6" t="s">
        <v>89</v>
      </c>
      <c r="N6" s="6" t="s">
        <v>111</v>
      </c>
      <c r="O6" t="s">
        <v>2</v>
      </c>
      <c r="P6" s="6" t="s">
        <v>102</v>
      </c>
      <c r="Q6" t="s">
        <v>3</v>
      </c>
      <c r="R6" s="6" t="s">
        <v>108</v>
      </c>
      <c r="S6" s="6" t="s">
        <v>112</v>
      </c>
      <c r="T6" t="s">
        <v>7</v>
      </c>
      <c r="U6" s="6" t="s">
        <v>113</v>
      </c>
      <c r="V6" t="s">
        <v>52</v>
      </c>
      <c r="W6" t="s">
        <v>56</v>
      </c>
      <c r="X6" t="s">
        <v>55</v>
      </c>
      <c r="Y6" t="s">
        <v>10</v>
      </c>
      <c r="Z6" t="s">
        <v>11</v>
      </c>
      <c r="AA6" t="s">
        <v>54</v>
      </c>
      <c r="AB6" t="s">
        <v>53</v>
      </c>
      <c r="AC6" s="6" t="s">
        <v>114</v>
      </c>
      <c r="AD6" t="s">
        <v>57</v>
      </c>
      <c r="AE6" t="s">
        <v>59</v>
      </c>
      <c r="AF6" t="s">
        <v>58</v>
      </c>
      <c r="AG6" t="s">
        <v>8</v>
      </c>
      <c r="AH6" t="s">
        <v>12</v>
      </c>
      <c r="AI6" s="6" t="s">
        <v>115</v>
      </c>
      <c r="AJ6" t="s">
        <v>13</v>
      </c>
      <c r="AK6" t="s">
        <v>15</v>
      </c>
    </row>
    <row r="7" spans="1:44" x14ac:dyDescent="0.25">
      <c r="A7" t="str">
        <f>TorneosScore!A7</f>
        <v>Caparazón</v>
      </c>
      <c r="B7">
        <f>TorneosScore!B7</f>
        <v>694</v>
      </c>
      <c r="C7">
        <f>TorneosScore!C7</f>
        <v>31</v>
      </c>
      <c r="D7" s="6" t="s">
        <v>116</v>
      </c>
      <c r="E7" t="s">
        <v>1</v>
      </c>
      <c r="F7" s="6" t="s">
        <v>76</v>
      </c>
      <c r="G7" t="s">
        <v>0</v>
      </c>
      <c r="H7" s="6" t="s">
        <v>106</v>
      </c>
      <c r="I7" t="s">
        <v>2</v>
      </c>
      <c r="J7" t="s">
        <v>3</v>
      </c>
      <c r="K7" s="6" t="s">
        <v>89</v>
      </c>
      <c r="L7" t="s">
        <v>4</v>
      </c>
      <c r="M7" t="s">
        <v>7</v>
      </c>
      <c r="N7" s="6" t="s">
        <v>108</v>
      </c>
      <c r="O7" s="6" t="s">
        <v>97</v>
      </c>
      <c r="P7" s="6" t="s">
        <v>117</v>
      </c>
      <c r="Q7" t="s">
        <v>52</v>
      </c>
      <c r="R7" t="s">
        <v>9</v>
      </c>
      <c r="S7" t="s">
        <v>8</v>
      </c>
      <c r="T7" s="6" t="s">
        <v>102</v>
      </c>
      <c r="U7" t="s">
        <v>118</v>
      </c>
      <c r="V7" t="s">
        <v>56</v>
      </c>
      <c r="W7" t="s">
        <v>14</v>
      </c>
      <c r="X7" t="s">
        <v>13</v>
      </c>
      <c r="Y7" t="s">
        <v>103</v>
      </c>
      <c r="Z7" t="s">
        <v>11</v>
      </c>
      <c r="AA7" t="s">
        <v>54</v>
      </c>
      <c r="AB7" t="s">
        <v>119</v>
      </c>
      <c r="AC7" t="s">
        <v>53</v>
      </c>
      <c r="AD7" t="s">
        <v>120</v>
      </c>
      <c r="AE7" t="s">
        <v>15</v>
      </c>
      <c r="AF7" t="s">
        <v>121</v>
      </c>
      <c r="AG7" t="s">
        <v>122</v>
      </c>
      <c r="AH7" t="s">
        <v>123</v>
      </c>
    </row>
    <row r="8" spans="1:44" x14ac:dyDescent="0.25">
      <c r="A8" t="str">
        <f>TorneosScore!A8</f>
        <v>CoD8</v>
      </c>
      <c r="B8">
        <f>TorneosScore!B8</f>
        <v>708</v>
      </c>
      <c r="C8">
        <f>TorneosScore!C8</f>
        <v>30</v>
      </c>
      <c r="D8" s="6" t="s">
        <v>75</v>
      </c>
      <c r="E8" s="6" t="s">
        <v>76</v>
      </c>
      <c r="F8" s="6" t="s">
        <v>124</v>
      </c>
      <c r="G8" t="s">
        <v>2</v>
      </c>
      <c r="H8" s="6" t="s">
        <v>28</v>
      </c>
      <c r="I8" s="6" t="s">
        <v>87</v>
      </c>
      <c r="J8" s="6" t="s">
        <v>108</v>
      </c>
      <c r="K8" s="6" t="s">
        <v>106</v>
      </c>
      <c r="L8" t="s">
        <v>3</v>
      </c>
      <c r="M8" s="6" t="s">
        <v>89</v>
      </c>
      <c r="N8" s="6" t="s">
        <v>125</v>
      </c>
      <c r="O8" s="6" t="s">
        <v>95</v>
      </c>
      <c r="P8" t="s">
        <v>52</v>
      </c>
      <c r="Q8" t="s">
        <v>5</v>
      </c>
      <c r="R8" t="s">
        <v>1</v>
      </c>
      <c r="S8" s="6" t="s">
        <v>101</v>
      </c>
      <c r="T8" t="s">
        <v>7</v>
      </c>
      <c r="U8" t="s">
        <v>121</v>
      </c>
      <c r="V8" t="s">
        <v>13</v>
      </c>
      <c r="W8" t="s">
        <v>9</v>
      </c>
      <c r="X8" t="s">
        <v>8</v>
      </c>
      <c r="Y8" t="s">
        <v>10</v>
      </c>
      <c r="Z8" t="s">
        <v>11</v>
      </c>
      <c r="AA8" t="s">
        <v>54</v>
      </c>
      <c r="AB8" t="s">
        <v>53</v>
      </c>
      <c r="AC8" s="6" t="s">
        <v>104</v>
      </c>
      <c r="AD8" t="s">
        <v>56</v>
      </c>
      <c r="AE8" t="s">
        <v>59</v>
      </c>
      <c r="AF8" t="s">
        <v>55</v>
      </c>
      <c r="AG8" t="s">
        <v>123</v>
      </c>
    </row>
    <row r="9" spans="1:44" x14ac:dyDescent="0.25">
      <c r="A9" s="7" t="str">
        <f>TorneosScore!A9</f>
        <v>CoD9</v>
      </c>
      <c r="B9" s="7">
        <f>TorneosScore!B9</f>
        <v>612</v>
      </c>
      <c r="C9" s="7">
        <f>TorneosScore!C9</f>
        <v>24</v>
      </c>
      <c r="D9" s="9" t="s">
        <v>75</v>
      </c>
      <c r="E9" s="7" t="s">
        <v>0</v>
      </c>
      <c r="F9" s="9" t="s">
        <v>28</v>
      </c>
      <c r="G9" s="9" t="s">
        <v>124</v>
      </c>
      <c r="H9" s="9" t="s">
        <v>87</v>
      </c>
      <c r="I9" s="7" t="s">
        <v>2</v>
      </c>
      <c r="J9" s="7" t="s">
        <v>3</v>
      </c>
      <c r="K9" s="9" t="s">
        <v>95</v>
      </c>
      <c r="L9" s="7" t="s">
        <v>7</v>
      </c>
      <c r="M9" s="7" t="s">
        <v>5</v>
      </c>
      <c r="N9" s="9" t="s">
        <v>108</v>
      </c>
      <c r="O9" s="7" t="s">
        <v>8</v>
      </c>
      <c r="P9" s="7" t="s">
        <v>53</v>
      </c>
      <c r="Q9" s="9" t="s">
        <v>126</v>
      </c>
      <c r="R9" s="7" t="s">
        <v>52</v>
      </c>
      <c r="S9" s="7" t="s">
        <v>9</v>
      </c>
      <c r="T9" s="7" t="s">
        <v>121</v>
      </c>
      <c r="U9" s="7" t="s">
        <v>56</v>
      </c>
      <c r="V9" s="7" t="s">
        <v>13</v>
      </c>
      <c r="W9" s="9" t="s">
        <v>127</v>
      </c>
      <c r="X9" s="7" t="s">
        <v>55</v>
      </c>
      <c r="Y9" s="7" t="s">
        <v>123</v>
      </c>
      <c r="Z9" s="7" t="s">
        <v>128</v>
      </c>
      <c r="AA9" s="7" t="s">
        <v>54</v>
      </c>
    </row>
    <row r="10" spans="1:44" x14ac:dyDescent="0.25">
      <c r="A10" t="str">
        <f>TorneosScore!A10</f>
        <v>Hoja</v>
      </c>
      <c r="B10">
        <f>TorneosScore!B10</f>
        <v>350</v>
      </c>
      <c r="C10">
        <f>TorneosScore!C10</f>
        <v>16</v>
      </c>
      <c r="D10" t="s">
        <v>2</v>
      </c>
      <c r="E10" t="s">
        <v>3</v>
      </c>
      <c r="H10" t="s">
        <v>9</v>
      </c>
      <c r="I10" t="s">
        <v>8</v>
      </c>
      <c r="J10" t="s">
        <v>151</v>
      </c>
      <c r="K10" t="s">
        <v>13</v>
      </c>
      <c r="L10" t="s">
        <v>53</v>
      </c>
      <c r="M10" t="s">
        <v>59</v>
      </c>
      <c r="N10" t="s">
        <v>55</v>
      </c>
      <c r="O10" t="s">
        <v>100</v>
      </c>
      <c r="P10" t="s">
        <v>15</v>
      </c>
      <c r="Q10" t="s">
        <v>121</v>
      </c>
      <c r="R10" t="s">
        <v>123</v>
      </c>
      <c r="T10" t="s">
        <v>152</v>
      </c>
      <c r="Y10" t="str">
        <f>TorneosScore!A10</f>
        <v>Hoja</v>
      </c>
    </row>
    <row r="11" spans="1:44" x14ac:dyDescent="0.25">
      <c r="A11" t="str">
        <f>TorneosScore!A11</f>
        <v>Centella</v>
      </c>
      <c r="B11">
        <f>TorneosScore!B11</f>
        <v>344</v>
      </c>
      <c r="C11">
        <f>TorneosScore!C11</f>
        <v>14</v>
      </c>
      <c r="D11" t="s">
        <v>0</v>
      </c>
      <c r="E11" t="s">
        <v>2</v>
      </c>
      <c r="F11" t="s">
        <v>3</v>
      </c>
      <c r="G11" t="s">
        <v>11</v>
      </c>
      <c r="H11" t="s">
        <v>151</v>
      </c>
      <c r="I11" t="s">
        <v>8</v>
      </c>
      <c r="J11" t="s">
        <v>57</v>
      </c>
      <c r="K11" t="s">
        <v>55</v>
      </c>
      <c r="L11" t="s">
        <v>53</v>
      </c>
      <c r="M11" t="s">
        <v>121</v>
      </c>
      <c r="N11" t="s">
        <v>13</v>
      </c>
      <c r="Y11" t="str">
        <f>TorneosScore!A11</f>
        <v>Centella</v>
      </c>
    </row>
    <row r="12" spans="1:44" x14ac:dyDescent="0.25">
      <c r="A12" t="str">
        <f>TorneosScore!A12</f>
        <v>CoD10</v>
      </c>
      <c r="B12">
        <f>TorneosScore!B12</f>
        <v>892</v>
      </c>
      <c r="C12">
        <f>TorneosScore!C12</f>
        <v>41</v>
      </c>
      <c r="E12" t="s">
        <v>0</v>
      </c>
      <c r="F12" t="s">
        <v>2</v>
      </c>
      <c r="H12" t="s">
        <v>3</v>
      </c>
      <c r="P12" t="s">
        <v>151</v>
      </c>
      <c r="Q12" t="s">
        <v>10</v>
      </c>
      <c r="T12" t="s">
        <v>53</v>
      </c>
      <c r="U12" t="s">
        <v>7</v>
      </c>
      <c r="V12" t="s">
        <v>5</v>
      </c>
      <c r="W12" t="s">
        <v>9</v>
      </c>
      <c r="X12" t="s">
        <v>8</v>
      </c>
      <c r="Y12" t="str">
        <f>TorneosScore!A12</f>
        <v>CoD10</v>
      </c>
    </row>
    <row r="13" spans="1:44" x14ac:dyDescent="0.25">
      <c r="A13" t="str">
        <f>TorneosScore!A13</f>
        <v>Huevo</v>
      </c>
      <c r="B13">
        <f>TorneosScore!B13</f>
        <v>602</v>
      </c>
      <c r="C13">
        <f>TorneosScore!C13</f>
        <v>21</v>
      </c>
      <c r="H13" t="s">
        <v>2</v>
      </c>
      <c r="J13" t="s">
        <v>3</v>
      </c>
      <c r="L13" t="s">
        <v>7</v>
      </c>
      <c r="M13" t="s">
        <v>151</v>
      </c>
      <c r="N13" t="s">
        <v>13</v>
      </c>
      <c r="O13" t="s">
        <v>9</v>
      </c>
      <c r="P13" t="s">
        <v>8</v>
      </c>
      <c r="Q13" t="s">
        <v>55</v>
      </c>
      <c r="R13" t="s">
        <v>10</v>
      </c>
      <c r="S13" t="s">
        <v>11</v>
      </c>
      <c r="T13" t="s">
        <v>53</v>
      </c>
      <c r="U13" t="s">
        <v>103</v>
      </c>
      <c r="V13" t="s">
        <v>59</v>
      </c>
      <c r="W13" t="s">
        <v>54</v>
      </c>
      <c r="Y13" t="str">
        <f>TorneosScore!A13</f>
        <v>Huevo</v>
      </c>
    </row>
    <row r="14" spans="1:44" x14ac:dyDescent="0.25">
      <c r="A14" t="str">
        <f>TorneosScore!A14</f>
        <v>CoD11</v>
      </c>
      <c r="B14">
        <f>TorneosScore!B14</f>
        <v>430</v>
      </c>
      <c r="C14">
        <f>TorneosScore!C14</f>
        <v>21</v>
      </c>
      <c r="F14" t="s">
        <v>5</v>
      </c>
      <c r="H14" t="s">
        <v>7</v>
      </c>
      <c r="I14" t="s">
        <v>11</v>
      </c>
      <c r="J14" t="s">
        <v>8</v>
      </c>
      <c r="L14" t="s">
        <v>53</v>
      </c>
      <c r="M14" t="s">
        <v>151</v>
      </c>
      <c r="N14" t="s">
        <v>56</v>
      </c>
      <c r="O14" t="s">
        <v>9</v>
      </c>
      <c r="P14" t="s">
        <v>13</v>
      </c>
      <c r="Q14" t="s">
        <v>153</v>
      </c>
      <c r="R14" t="s">
        <v>103</v>
      </c>
      <c r="S14" t="s">
        <v>55</v>
      </c>
      <c r="T14" t="s">
        <v>152</v>
      </c>
      <c r="U14" t="s">
        <v>123</v>
      </c>
      <c r="V14" t="s">
        <v>59</v>
      </c>
      <c r="W14" t="s">
        <v>154</v>
      </c>
      <c r="X14" t="s">
        <v>155</v>
      </c>
      <c r="Y14" t="str">
        <f>TorneosScore!A14</f>
        <v>CoD11</v>
      </c>
    </row>
    <row r="15" spans="1:44" x14ac:dyDescent="0.25">
      <c r="A15" t="str">
        <f>TorneosScore!A15</f>
        <v>Crossing</v>
      </c>
      <c r="B15">
        <f>TorneosScore!B15</f>
        <v>414</v>
      </c>
      <c r="C15">
        <f>TorneosScore!C15</f>
        <v>20</v>
      </c>
      <c r="D15" t="s">
        <v>2</v>
      </c>
      <c r="H15" t="s">
        <v>8</v>
      </c>
      <c r="J15" t="s">
        <v>151</v>
      </c>
      <c r="L15" t="s">
        <v>53</v>
      </c>
      <c r="M15" t="s">
        <v>9</v>
      </c>
      <c r="N15" t="s">
        <v>11</v>
      </c>
      <c r="P15" t="s">
        <v>13</v>
      </c>
      <c r="Q15" t="s">
        <v>128</v>
      </c>
      <c r="R15" t="s">
        <v>54</v>
      </c>
      <c r="T15" t="s">
        <v>59</v>
      </c>
      <c r="U15" t="s">
        <v>103</v>
      </c>
      <c r="V15" t="s">
        <v>156</v>
      </c>
      <c r="W15" t="s">
        <v>154</v>
      </c>
      <c r="Y15" t="str">
        <f>TorneosScore!A15</f>
        <v>Crossing</v>
      </c>
    </row>
    <row r="16" spans="1:44" x14ac:dyDescent="0.25">
      <c r="A16" t="str">
        <f>TorneosScore!A16</f>
        <v>CoD12</v>
      </c>
      <c r="B16">
        <f>TorneosScore!B16</f>
        <v>466</v>
      </c>
      <c r="C16">
        <f>TorneosScore!C16</f>
        <v>17</v>
      </c>
      <c r="F16" t="s">
        <v>5</v>
      </c>
      <c r="G16" t="s">
        <v>7</v>
      </c>
      <c r="H16" t="s">
        <v>151</v>
      </c>
      <c r="J16" t="s">
        <v>13</v>
      </c>
      <c r="L16" t="s">
        <v>53</v>
      </c>
      <c r="M16" t="s">
        <v>59</v>
      </c>
      <c r="N16" t="s">
        <v>8</v>
      </c>
      <c r="O16" t="s">
        <v>11</v>
      </c>
      <c r="P16" t="s">
        <v>153</v>
      </c>
      <c r="Q16" t="s">
        <v>123</v>
      </c>
      <c r="R16" t="s">
        <v>54</v>
      </c>
      <c r="T16" t="s">
        <v>152</v>
      </c>
      <c r="Y16" t="str">
        <f>TorneosScore!A16</f>
        <v>CoD12</v>
      </c>
    </row>
    <row r="17" spans="1:25" x14ac:dyDescent="0.25">
      <c r="A17" t="str">
        <f>TorneosScore!A17</f>
        <v>Trifuerza</v>
      </c>
      <c r="B17">
        <f>TorneosScore!B17</f>
        <v>272</v>
      </c>
      <c r="C17">
        <f>TorneosScore!C17</f>
        <v>12</v>
      </c>
      <c r="D17" t="s">
        <v>2</v>
      </c>
      <c r="F17" t="s">
        <v>8</v>
      </c>
      <c r="G17" t="s">
        <v>9</v>
      </c>
      <c r="H17" t="s">
        <v>7</v>
      </c>
      <c r="I17" t="s">
        <v>55</v>
      </c>
      <c r="J17" t="s">
        <v>59</v>
      </c>
      <c r="K17" t="s">
        <v>54</v>
      </c>
      <c r="L17" t="s">
        <v>13</v>
      </c>
      <c r="M17" t="s">
        <v>56</v>
      </c>
      <c r="N17" t="s">
        <v>154</v>
      </c>
      <c r="Y17" t="str">
        <f>TorneosScore!A17</f>
        <v>Trifuerza</v>
      </c>
    </row>
    <row r="18" spans="1:25" x14ac:dyDescent="0.25">
      <c r="A18" t="str">
        <f>TorneosScore!A18</f>
        <v>CoD13</v>
      </c>
      <c r="B18">
        <f>TorneosScore!B18</f>
        <v>378</v>
      </c>
      <c r="C18">
        <f>TorneosScore!C18</f>
        <v>17</v>
      </c>
      <c r="D18" t="s">
        <v>0</v>
      </c>
      <c r="F18" t="s">
        <v>1</v>
      </c>
      <c r="G18" t="s">
        <v>8</v>
      </c>
      <c r="H18" t="s">
        <v>5</v>
      </c>
      <c r="J18" t="s">
        <v>53</v>
      </c>
      <c r="K18" t="s">
        <v>9</v>
      </c>
      <c r="L18" t="s">
        <v>56</v>
      </c>
      <c r="M18" t="s">
        <v>13</v>
      </c>
      <c r="N18" t="s">
        <v>55</v>
      </c>
      <c r="O18" t="s">
        <v>11</v>
      </c>
      <c r="P18" t="s">
        <v>59</v>
      </c>
      <c r="Q18" t="s">
        <v>54</v>
      </c>
      <c r="R18" t="s">
        <v>153</v>
      </c>
      <c r="S18" t="s">
        <v>154</v>
      </c>
      <c r="T18" t="s">
        <v>128</v>
      </c>
      <c r="Y18" t="str">
        <f>TorneosScore!A18</f>
        <v>CoD13</v>
      </c>
    </row>
    <row r="19" spans="1:25" x14ac:dyDescent="0.25">
      <c r="A19" t="str">
        <f>TorneosScore!A19</f>
        <v>Campana</v>
      </c>
      <c r="B19">
        <f>TorneosScore!B19</f>
        <v>210</v>
      </c>
      <c r="C19">
        <f>TorneosScore!C19</f>
        <v>10</v>
      </c>
      <c r="D19" t="s">
        <v>7</v>
      </c>
      <c r="E19" t="s">
        <v>11</v>
      </c>
      <c r="F19" t="s">
        <v>8</v>
      </c>
      <c r="G19" t="s">
        <v>53</v>
      </c>
      <c r="H19" t="s">
        <v>13</v>
      </c>
      <c r="I19" t="s">
        <v>9</v>
      </c>
      <c r="J19" t="s">
        <v>55</v>
      </c>
      <c r="K19" t="s">
        <v>54</v>
      </c>
      <c r="L19" t="s">
        <v>59</v>
      </c>
      <c r="M19" t="s">
        <v>128</v>
      </c>
      <c r="Y19" t="str">
        <f>TorneosScore!A19</f>
        <v>Campana</v>
      </c>
    </row>
    <row r="20" spans="1:25" x14ac:dyDescent="0.25">
      <c r="A20" t="str">
        <f>TorneosScore!A20</f>
        <v>PoD:TLS</v>
      </c>
      <c r="B20">
        <f>TorneosScore!B20</f>
        <v>822</v>
      </c>
      <c r="C20">
        <f>TorneosScore!C20</f>
        <v>31</v>
      </c>
      <c r="G20" t="s">
        <v>2</v>
      </c>
      <c r="H20" t="s">
        <v>0</v>
      </c>
      <c r="L20" t="s">
        <v>3</v>
      </c>
      <c r="M20" t="s">
        <v>13</v>
      </c>
      <c r="P20" t="s">
        <v>7</v>
      </c>
      <c r="Q20" t="s">
        <v>11</v>
      </c>
      <c r="T20" t="s">
        <v>53</v>
      </c>
      <c r="U20" t="s">
        <v>151</v>
      </c>
      <c r="V20" t="s">
        <v>56</v>
      </c>
      <c r="W20" t="s">
        <v>8</v>
      </c>
      <c r="X20" t="s">
        <v>55</v>
      </c>
      <c r="Y20" t="str">
        <f>TorneosScore!A20</f>
        <v>PoD:TLS</v>
      </c>
    </row>
    <row r="29" spans="1:25" x14ac:dyDescent="0.25">
      <c r="A29" t="s">
        <v>132</v>
      </c>
      <c r="F29" s="4"/>
    </row>
    <row r="30" spans="1:25" x14ac:dyDescent="0.25">
      <c r="A30">
        <f>D30+E30+F30</f>
        <v>100.00000000000001</v>
      </c>
      <c r="B30" t="s">
        <v>30</v>
      </c>
      <c r="C30">
        <f>100/3</f>
        <v>33.333333333333336</v>
      </c>
      <c r="D30">
        <f>C30*1.5</f>
        <v>50</v>
      </c>
      <c r="E30">
        <f>C30*1</f>
        <v>33.333333333333336</v>
      </c>
      <c r="F30">
        <f>C30*0.5</f>
        <v>16.666666666666668</v>
      </c>
    </row>
    <row r="31" spans="1:25" x14ac:dyDescent="0.25">
      <c r="A31">
        <f>D31+E31+F31+G31+H31+J31</f>
        <v>100</v>
      </c>
      <c r="B31" t="s">
        <v>31</v>
      </c>
      <c r="C31">
        <f>100/8</f>
        <v>12.5</v>
      </c>
      <c r="D31">
        <f>C31*2</f>
        <v>25</v>
      </c>
      <c r="E31">
        <f>C31*1.75</f>
        <v>21.875</v>
      </c>
      <c r="F31">
        <f>C31*1.5</f>
        <v>18.75</v>
      </c>
      <c r="G31">
        <f>C31*1.25</f>
        <v>15.625</v>
      </c>
      <c r="H31">
        <f>C31*1</f>
        <v>12.5</v>
      </c>
      <c r="I31">
        <f>H31</f>
        <v>12.5</v>
      </c>
      <c r="J31">
        <f>C31*0.5</f>
        <v>6.25</v>
      </c>
      <c r="K31">
        <f>J31</f>
        <v>6.25</v>
      </c>
    </row>
    <row r="32" spans="1:25" x14ac:dyDescent="0.25">
      <c r="A32">
        <f>D32+E32+F32+G32+H32+J32+L32</f>
        <v>100</v>
      </c>
      <c r="B32" t="s">
        <v>35</v>
      </c>
      <c r="C32">
        <f>100/12</f>
        <v>8.3333333333333339</v>
      </c>
      <c r="D32">
        <f>C32*3</f>
        <v>25</v>
      </c>
      <c r="E32">
        <f>C32*2.5</f>
        <v>20.833333333333336</v>
      </c>
      <c r="F32">
        <f>C32*2</f>
        <v>16.666666666666668</v>
      </c>
      <c r="G32">
        <f>C32*1.5</f>
        <v>12.5</v>
      </c>
      <c r="H32">
        <f>C32*1.25</f>
        <v>10.416666666666668</v>
      </c>
      <c r="I32">
        <f>H32</f>
        <v>10.416666666666668</v>
      </c>
      <c r="J32">
        <f>C32*1</f>
        <v>8.3333333333333339</v>
      </c>
      <c r="K32">
        <f>J32</f>
        <v>8.3333333333333339</v>
      </c>
      <c r="L32">
        <f>C32*0.75</f>
        <v>6.25</v>
      </c>
      <c r="M32">
        <f>L32</f>
        <v>6.25</v>
      </c>
      <c r="N32">
        <f>L32</f>
        <v>6.25</v>
      </c>
      <c r="O32">
        <f>L32</f>
        <v>6.25</v>
      </c>
    </row>
    <row r="33" spans="1:20" x14ac:dyDescent="0.25">
      <c r="A33">
        <v>100</v>
      </c>
      <c r="B33" t="s">
        <v>70</v>
      </c>
      <c r="C33">
        <f>100/24</f>
        <v>4.166666666666667</v>
      </c>
    </row>
    <row r="35" spans="1:20" x14ac:dyDescent="0.25">
      <c r="B35" t="s">
        <v>133</v>
      </c>
    </row>
    <row r="36" spans="1:20" x14ac:dyDescent="0.25">
      <c r="B36">
        <v>100</v>
      </c>
      <c r="C36" t="s">
        <v>30</v>
      </c>
      <c r="D36">
        <f>B36*1</f>
        <v>100</v>
      </c>
      <c r="E36">
        <f>B36*0.67</f>
        <v>67</v>
      </c>
      <c r="F36">
        <f>B36*0.33</f>
        <v>33</v>
      </c>
    </row>
    <row r="37" spans="1:20" x14ac:dyDescent="0.25">
      <c r="B37">
        <v>100</v>
      </c>
      <c r="C37" t="s">
        <v>129</v>
      </c>
      <c r="D37">
        <f>B37*1</f>
        <v>100</v>
      </c>
      <c r="E37">
        <f>B37*0.875</f>
        <v>87.5</v>
      </c>
      <c r="F37">
        <f>B37*0.75</f>
        <v>75</v>
      </c>
      <c r="G37">
        <f>B37*0.625</f>
        <v>62.5</v>
      </c>
      <c r="H37">
        <f>B37*0.5</f>
        <v>50</v>
      </c>
      <c r="I37">
        <f>H37</f>
        <v>50</v>
      </c>
      <c r="J37">
        <f>B37*0.375</f>
        <v>37.5</v>
      </c>
      <c r="K37">
        <f>J37</f>
        <v>37.5</v>
      </c>
      <c r="L37">
        <f>B37*0.25</f>
        <v>25</v>
      </c>
      <c r="M37">
        <f>L37</f>
        <v>25</v>
      </c>
      <c r="N37">
        <f>L37</f>
        <v>25</v>
      </c>
      <c r="O37">
        <f>L37</f>
        <v>25</v>
      </c>
      <c r="P37">
        <f>B37*0.125</f>
        <v>12.5</v>
      </c>
      <c r="Q37">
        <f>P37</f>
        <v>12.5</v>
      </c>
      <c r="R37">
        <f>P37</f>
        <v>12.5</v>
      </c>
      <c r="S37">
        <f>P37</f>
        <v>12.5</v>
      </c>
      <c r="T37">
        <f>B37*0.0625</f>
        <v>6.25</v>
      </c>
    </row>
    <row r="38" spans="1:20" x14ac:dyDescent="0.25">
      <c r="B38">
        <v>100</v>
      </c>
      <c r="C38" t="s">
        <v>130</v>
      </c>
      <c r="D38">
        <f t="shared" ref="D38:D39" si="0">B38*1</f>
        <v>100</v>
      </c>
      <c r="E38">
        <f t="shared" ref="E38:E39" si="1">B38*0.875</f>
        <v>87.5</v>
      </c>
      <c r="F38">
        <f t="shared" ref="F38:F39" si="2">B38*0.75</f>
        <v>75</v>
      </c>
      <c r="G38">
        <f t="shared" ref="G38:G39" si="3">B38*0.625</f>
        <v>62.5</v>
      </c>
      <c r="H38">
        <f t="shared" ref="H38:H39" si="4">B38*0.5</f>
        <v>50</v>
      </c>
      <c r="I38">
        <f t="shared" ref="I38:I39" si="5">H38</f>
        <v>50</v>
      </c>
      <c r="J38">
        <f t="shared" ref="J38:J39" si="6">B38*0.375</f>
        <v>37.5</v>
      </c>
      <c r="K38">
        <f t="shared" ref="K38:K39" si="7">J38</f>
        <v>37.5</v>
      </c>
      <c r="L38">
        <f t="shared" ref="L38:L39" si="8">B38*0.25</f>
        <v>25</v>
      </c>
      <c r="M38">
        <f t="shared" ref="M38:M39" si="9">L38</f>
        <v>25</v>
      </c>
      <c r="N38">
        <f t="shared" ref="N38:N39" si="10">L38</f>
        <v>25</v>
      </c>
      <c r="O38">
        <f t="shared" ref="O38:O39" si="11">L38</f>
        <v>25</v>
      </c>
      <c r="P38">
        <f t="shared" ref="P38:P39" si="12">B38*0.125</f>
        <v>12.5</v>
      </c>
      <c r="Q38">
        <f t="shared" ref="Q38:Q39" si="13">P38</f>
        <v>12.5</v>
      </c>
      <c r="R38">
        <f t="shared" ref="R38:R39" si="14">P38</f>
        <v>12.5</v>
      </c>
      <c r="S38">
        <f t="shared" ref="S38:S39" si="15">P38</f>
        <v>12.5</v>
      </c>
      <c r="T38">
        <f t="shared" ref="T38:T39" si="16">B38*0.0625</f>
        <v>6.25</v>
      </c>
    </row>
    <row r="39" spans="1:20" x14ac:dyDescent="0.25">
      <c r="B39">
        <v>100</v>
      </c>
      <c r="C39" t="s">
        <v>131</v>
      </c>
      <c r="D39">
        <f t="shared" si="0"/>
        <v>100</v>
      </c>
      <c r="E39">
        <f t="shared" si="1"/>
        <v>87.5</v>
      </c>
      <c r="F39">
        <f t="shared" si="2"/>
        <v>75</v>
      </c>
      <c r="G39">
        <f t="shared" si="3"/>
        <v>62.5</v>
      </c>
      <c r="H39">
        <f t="shared" si="4"/>
        <v>50</v>
      </c>
      <c r="I39">
        <f t="shared" si="5"/>
        <v>50</v>
      </c>
      <c r="J39">
        <f t="shared" si="6"/>
        <v>37.5</v>
      </c>
      <c r="K39">
        <f t="shared" si="7"/>
        <v>37.5</v>
      </c>
      <c r="L39">
        <f t="shared" si="8"/>
        <v>25</v>
      </c>
      <c r="M39">
        <f t="shared" si="9"/>
        <v>25</v>
      </c>
      <c r="N39">
        <f t="shared" si="10"/>
        <v>25</v>
      </c>
      <c r="O39">
        <f t="shared" si="11"/>
        <v>25</v>
      </c>
      <c r="P39">
        <f t="shared" si="12"/>
        <v>12.5</v>
      </c>
      <c r="Q39">
        <f t="shared" si="13"/>
        <v>12.5</v>
      </c>
      <c r="R39">
        <f t="shared" si="14"/>
        <v>12.5</v>
      </c>
      <c r="S39">
        <f t="shared" si="15"/>
        <v>12.5</v>
      </c>
      <c r="T39">
        <f t="shared" si="16"/>
        <v>6.25</v>
      </c>
    </row>
    <row r="42" spans="1:20" x14ac:dyDescent="0.25">
      <c r="A42" t="s">
        <v>132</v>
      </c>
    </row>
    <row r="43" spans="1:20" x14ac:dyDescent="0.25">
      <c r="A43" t="str">
        <f t="shared" ref="A43:A51" si="17">A1</f>
        <v>Torneo</v>
      </c>
      <c r="B43" t="str">
        <f t="shared" ref="B43:B51" si="18">C1</f>
        <v>Entrants</v>
      </c>
      <c r="C43" s="2" t="s">
        <v>32</v>
      </c>
      <c r="D43">
        <v>1</v>
      </c>
      <c r="E43">
        <v>2</v>
      </c>
      <c r="F43">
        <v>3</v>
      </c>
      <c r="G43">
        <v>4</v>
      </c>
      <c r="H43">
        <v>5</v>
      </c>
      <c r="I43">
        <v>5</v>
      </c>
      <c r="J43">
        <v>7</v>
      </c>
      <c r="K43">
        <v>7</v>
      </c>
      <c r="L43">
        <v>9</v>
      </c>
      <c r="M43">
        <v>9</v>
      </c>
      <c r="N43">
        <v>9</v>
      </c>
      <c r="O43">
        <v>9</v>
      </c>
      <c r="P43" t="s">
        <v>33</v>
      </c>
      <c r="Q43" t="s">
        <v>34</v>
      </c>
    </row>
    <row r="44" spans="1:20" x14ac:dyDescent="0.25">
      <c r="A44" t="str">
        <f t="shared" si="17"/>
        <v>AoT</v>
      </c>
      <c r="B44">
        <f t="shared" si="18"/>
        <v>52</v>
      </c>
      <c r="C44" s="2">
        <f t="shared" ref="C44:C51" si="19">B2/12</f>
        <v>123.5</v>
      </c>
      <c r="D44">
        <f>C44*3</f>
        <v>370.5</v>
      </c>
      <c r="E44">
        <f t="shared" ref="E44:E49" si="20">C44*2.5</f>
        <v>308.75</v>
      </c>
      <c r="F44">
        <f t="shared" ref="F44:F49" si="21">C44*2</f>
        <v>247</v>
      </c>
      <c r="G44">
        <f t="shared" ref="G44:G49" si="22">C44*1.5</f>
        <v>185.25</v>
      </c>
      <c r="H44">
        <f t="shared" ref="H44:H49" si="23">C44*1.25</f>
        <v>154.375</v>
      </c>
      <c r="I44">
        <f t="shared" ref="I44:I51" si="24">H44</f>
        <v>154.375</v>
      </c>
      <c r="J44">
        <f t="shared" ref="J44:J49" si="25">C44*1</f>
        <v>123.5</v>
      </c>
      <c r="K44">
        <f t="shared" ref="K44:K51" si="26">J44</f>
        <v>123.5</v>
      </c>
      <c r="L44">
        <f t="shared" ref="L44:L49" si="27">C44*0.75</f>
        <v>92.625</v>
      </c>
      <c r="M44">
        <f t="shared" ref="M44:M49" si="28">L44</f>
        <v>92.625</v>
      </c>
      <c r="N44">
        <f t="shared" ref="N44:N49" si="29">L44</f>
        <v>92.625</v>
      </c>
      <c r="O44">
        <f t="shared" ref="O44:O49" si="30">L44</f>
        <v>92.625</v>
      </c>
      <c r="P44">
        <f t="shared" ref="P44:P51" si="31">B2</f>
        <v>1482</v>
      </c>
      <c r="Q44">
        <f>D44+E44+F44+G44+H44+J44+L44</f>
        <v>1482</v>
      </c>
    </row>
    <row r="45" spans="1:20" x14ac:dyDescent="0.25">
      <c r="A45" t="str">
        <f t="shared" si="17"/>
        <v>CoD5</v>
      </c>
      <c r="B45">
        <f t="shared" si="18"/>
        <v>19</v>
      </c>
      <c r="C45" s="2">
        <f t="shared" si="19"/>
        <v>35.666666666666664</v>
      </c>
      <c r="D45">
        <f t="shared" ref="D45:D49" si="32">C45*3</f>
        <v>107</v>
      </c>
      <c r="E45">
        <f t="shared" si="20"/>
        <v>89.166666666666657</v>
      </c>
      <c r="F45">
        <f t="shared" si="21"/>
        <v>71.333333333333329</v>
      </c>
      <c r="G45">
        <f t="shared" si="22"/>
        <v>53.5</v>
      </c>
      <c r="H45">
        <f t="shared" si="23"/>
        <v>44.583333333333329</v>
      </c>
      <c r="I45">
        <f t="shared" si="24"/>
        <v>44.583333333333329</v>
      </c>
      <c r="J45">
        <f t="shared" si="25"/>
        <v>35.666666666666664</v>
      </c>
      <c r="K45">
        <f t="shared" si="26"/>
        <v>35.666666666666664</v>
      </c>
      <c r="L45">
        <f t="shared" si="27"/>
        <v>26.75</v>
      </c>
      <c r="M45">
        <f t="shared" si="28"/>
        <v>26.75</v>
      </c>
      <c r="N45">
        <f t="shared" si="29"/>
        <v>26.75</v>
      </c>
      <c r="O45">
        <f t="shared" si="30"/>
        <v>26.75</v>
      </c>
      <c r="P45">
        <f t="shared" si="31"/>
        <v>428</v>
      </c>
      <c r="Q45">
        <f t="shared" ref="Q45:Q51" si="33">D45+E45+F45+G45+H45+J45+L45</f>
        <v>428</v>
      </c>
    </row>
    <row r="46" spans="1:20" x14ac:dyDescent="0.25">
      <c r="A46" t="str">
        <f t="shared" si="17"/>
        <v>Plátano</v>
      </c>
      <c r="B46">
        <f t="shared" si="18"/>
        <v>21</v>
      </c>
      <c r="C46" s="2">
        <f t="shared" si="19"/>
        <v>35.833333333333336</v>
      </c>
      <c r="D46">
        <f t="shared" si="32"/>
        <v>107.5</v>
      </c>
      <c r="E46">
        <f t="shared" si="20"/>
        <v>89.583333333333343</v>
      </c>
      <c r="F46">
        <f t="shared" si="21"/>
        <v>71.666666666666671</v>
      </c>
      <c r="G46">
        <f t="shared" si="22"/>
        <v>53.75</v>
      </c>
      <c r="H46">
        <f t="shared" si="23"/>
        <v>44.791666666666671</v>
      </c>
      <c r="I46">
        <f t="shared" si="24"/>
        <v>44.791666666666671</v>
      </c>
      <c r="J46">
        <f t="shared" si="25"/>
        <v>35.833333333333336</v>
      </c>
      <c r="K46">
        <f t="shared" si="26"/>
        <v>35.833333333333336</v>
      </c>
      <c r="L46">
        <f t="shared" si="27"/>
        <v>26.875</v>
      </c>
      <c r="M46">
        <f t="shared" si="28"/>
        <v>26.875</v>
      </c>
      <c r="N46">
        <f t="shared" si="29"/>
        <v>26.875</v>
      </c>
      <c r="O46">
        <f t="shared" si="30"/>
        <v>26.875</v>
      </c>
      <c r="P46">
        <f t="shared" si="31"/>
        <v>430</v>
      </c>
      <c r="Q46">
        <f t="shared" si="33"/>
        <v>430</v>
      </c>
    </row>
    <row r="47" spans="1:20" x14ac:dyDescent="0.25">
      <c r="A47" t="str">
        <f t="shared" si="17"/>
        <v>CoD6</v>
      </c>
      <c r="B47">
        <f t="shared" si="18"/>
        <v>28</v>
      </c>
      <c r="C47" s="2">
        <f t="shared" si="19"/>
        <v>53.833333333333336</v>
      </c>
      <c r="D47">
        <f t="shared" si="32"/>
        <v>161.5</v>
      </c>
      <c r="E47">
        <f t="shared" si="20"/>
        <v>134.58333333333334</v>
      </c>
      <c r="F47">
        <f t="shared" si="21"/>
        <v>107.66666666666667</v>
      </c>
      <c r="G47">
        <f t="shared" si="22"/>
        <v>80.75</v>
      </c>
      <c r="H47">
        <f t="shared" si="23"/>
        <v>67.291666666666671</v>
      </c>
      <c r="I47">
        <f t="shared" si="24"/>
        <v>67.291666666666671</v>
      </c>
      <c r="J47">
        <f t="shared" si="25"/>
        <v>53.833333333333336</v>
      </c>
      <c r="K47">
        <f t="shared" si="26"/>
        <v>53.833333333333336</v>
      </c>
      <c r="L47">
        <f t="shared" si="27"/>
        <v>40.375</v>
      </c>
      <c r="M47">
        <f t="shared" si="28"/>
        <v>40.375</v>
      </c>
      <c r="N47">
        <f t="shared" si="29"/>
        <v>40.375</v>
      </c>
      <c r="O47">
        <f t="shared" si="30"/>
        <v>40.375</v>
      </c>
      <c r="P47">
        <f t="shared" si="31"/>
        <v>646</v>
      </c>
      <c r="Q47">
        <f t="shared" si="33"/>
        <v>646.00000000000011</v>
      </c>
    </row>
    <row r="48" spans="1:20" x14ac:dyDescent="0.25">
      <c r="A48" t="str">
        <f t="shared" si="17"/>
        <v>CoD7</v>
      </c>
      <c r="B48">
        <f t="shared" si="18"/>
        <v>37</v>
      </c>
      <c r="C48" s="2">
        <f t="shared" si="19"/>
        <v>68.333333333333329</v>
      </c>
      <c r="D48">
        <f t="shared" si="32"/>
        <v>205</v>
      </c>
      <c r="E48">
        <f t="shared" si="20"/>
        <v>170.83333333333331</v>
      </c>
      <c r="F48">
        <f t="shared" si="21"/>
        <v>136.66666666666666</v>
      </c>
      <c r="G48">
        <f t="shared" si="22"/>
        <v>102.5</v>
      </c>
      <c r="H48">
        <f t="shared" si="23"/>
        <v>85.416666666666657</v>
      </c>
      <c r="I48">
        <f t="shared" si="24"/>
        <v>85.416666666666657</v>
      </c>
      <c r="J48">
        <f t="shared" si="25"/>
        <v>68.333333333333329</v>
      </c>
      <c r="K48">
        <f t="shared" si="26"/>
        <v>68.333333333333329</v>
      </c>
      <c r="L48">
        <f t="shared" si="27"/>
        <v>51.25</v>
      </c>
      <c r="M48">
        <f t="shared" si="28"/>
        <v>51.25</v>
      </c>
      <c r="N48">
        <f t="shared" si="29"/>
        <v>51.25</v>
      </c>
      <c r="O48">
        <f t="shared" si="30"/>
        <v>51.25</v>
      </c>
      <c r="P48">
        <f t="shared" si="31"/>
        <v>820</v>
      </c>
      <c r="Q48">
        <f t="shared" si="33"/>
        <v>820</v>
      </c>
    </row>
    <row r="49" spans="1:17" x14ac:dyDescent="0.25">
      <c r="A49" t="str">
        <f t="shared" si="17"/>
        <v>Caparazón</v>
      </c>
      <c r="B49">
        <f t="shared" si="18"/>
        <v>31</v>
      </c>
      <c r="C49" s="2">
        <f t="shared" si="19"/>
        <v>57.833333333333336</v>
      </c>
      <c r="D49">
        <f t="shared" si="32"/>
        <v>173.5</v>
      </c>
      <c r="E49">
        <f t="shared" si="20"/>
        <v>144.58333333333334</v>
      </c>
      <c r="F49">
        <f t="shared" si="21"/>
        <v>115.66666666666667</v>
      </c>
      <c r="G49">
        <f t="shared" si="22"/>
        <v>86.75</v>
      </c>
      <c r="H49">
        <f t="shared" si="23"/>
        <v>72.291666666666671</v>
      </c>
      <c r="I49">
        <f t="shared" si="24"/>
        <v>72.291666666666671</v>
      </c>
      <c r="J49">
        <f t="shared" si="25"/>
        <v>57.833333333333336</v>
      </c>
      <c r="K49">
        <f t="shared" si="26"/>
        <v>57.833333333333336</v>
      </c>
      <c r="L49">
        <f t="shared" si="27"/>
        <v>43.375</v>
      </c>
      <c r="M49">
        <f t="shared" si="28"/>
        <v>43.375</v>
      </c>
      <c r="N49">
        <f t="shared" si="29"/>
        <v>43.375</v>
      </c>
      <c r="O49">
        <f t="shared" si="30"/>
        <v>43.375</v>
      </c>
      <c r="P49">
        <f t="shared" si="31"/>
        <v>694</v>
      </c>
      <c r="Q49">
        <f t="shared" si="33"/>
        <v>694</v>
      </c>
    </row>
    <row r="50" spans="1:17" x14ac:dyDescent="0.25">
      <c r="A50" t="str">
        <f t="shared" si="17"/>
        <v>CoD8</v>
      </c>
      <c r="B50">
        <f t="shared" si="18"/>
        <v>30</v>
      </c>
      <c r="C50" s="2">
        <f t="shared" si="19"/>
        <v>59</v>
      </c>
      <c r="D50">
        <f>C50*2</f>
        <v>118</v>
      </c>
      <c r="E50">
        <f>C50*1.75</f>
        <v>103.25</v>
      </c>
      <c r="F50">
        <f>C50*1.5</f>
        <v>88.5</v>
      </c>
      <c r="G50">
        <f>C50*1.25</f>
        <v>73.75</v>
      </c>
      <c r="H50">
        <f>C50*1</f>
        <v>59</v>
      </c>
      <c r="I50">
        <f t="shared" si="24"/>
        <v>59</v>
      </c>
      <c r="J50">
        <f>C50*0.5</f>
        <v>29.5</v>
      </c>
      <c r="K50">
        <f t="shared" si="26"/>
        <v>29.5</v>
      </c>
      <c r="P50">
        <f t="shared" si="31"/>
        <v>708</v>
      </c>
      <c r="Q50">
        <f t="shared" si="33"/>
        <v>472</v>
      </c>
    </row>
    <row r="51" spans="1:17" x14ac:dyDescent="0.25">
      <c r="A51" t="str">
        <f t="shared" si="17"/>
        <v>CoD9</v>
      </c>
      <c r="B51">
        <f t="shared" si="18"/>
        <v>24</v>
      </c>
      <c r="C51" s="2">
        <f t="shared" si="19"/>
        <v>51</v>
      </c>
      <c r="D51">
        <f>C51*3</f>
        <v>153</v>
      </c>
      <c r="E51">
        <f>C51*2.5</f>
        <v>127.5</v>
      </c>
      <c r="F51">
        <f>C51*2</f>
        <v>102</v>
      </c>
      <c r="G51">
        <f>C51*1.5</f>
        <v>76.5</v>
      </c>
      <c r="H51">
        <f>C51*1.25</f>
        <v>63.75</v>
      </c>
      <c r="I51">
        <f t="shared" si="24"/>
        <v>63.75</v>
      </c>
      <c r="J51">
        <f>C51*1</f>
        <v>51</v>
      </c>
      <c r="K51">
        <f t="shared" si="26"/>
        <v>51</v>
      </c>
      <c r="L51">
        <f>C51*0.75</f>
        <v>38.25</v>
      </c>
      <c r="M51">
        <f>L51</f>
        <v>38.25</v>
      </c>
      <c r="N51">
        <f>L51</f>
        <v>38.25</v>
      </c>
      <c r="O51">
        <f>L51</f>
        <v>38.25</v>
      </c>
      <c r="P51">
        <f t="shared" si="31"/>
        <v>612</v>
      </c>
      <c r="Q51">
        <f t="shared" si="33"/>
        <v>612</v>
      </c>
    </row>
    <row r="53" spans="1:17" x14ac:dyDescent="0.25">
      <c r="A53" t="s">
        <v>133</v>
      </c>
    </row>
    <row r="54" spans="1:17" x14ac:dyDescent="0.25">
      <c r="A54" t="str">
        <f t="shared" ref="A54:C62" si="34">A1</f>
        <v>Torneo</v>
      </c>
      <c r="B54" t="str">
        <f t="shared" si="34"/>
        <v>Scores fixed</v>
      </c>
      <c r="C54" s="2" t="str">
        <f t="shared" si="34"/>
        <v>Entrants</v>
      </c>
      <c r="D54">
        <v>1</v>
      </c>
      <c r="E54">
        <v>2</v>
      </c>
      <c r="F54">
        <v>3</v>
      </c>
      <c r="G54">
        <v>4</v>
      </c>
      <c r="H54">
        <v>5</v>
      </c>
      <c r="I54">
        <v>7</v>
      </c>
      <c r="J54">
        <v>9</v>
      </c>
      <c r="K54">
        <v>13</v>
      </c>
      <c r="L54">
        <v>17</v>
      </c>
    </row>
    <row r="55" spans="1:17" x14ac:dyDescent="0.25">
      <c r="A55" t="str">
        <f t="shared" si="34"/>
        <v>AoT</v>
      </c>
      <c r="B55">
        <f t="shared" si="34"/>
        <v>1482</v>
      </c>
      <c r="C55" s="2">
        <f t="shared" si="34"/>
        <v>52</v>
      </c>
      <c r="D55">
        <f>B55*1</f>
        <v>1482</v>
      </c>
      <c r="E55">
        <f t="shared" ref="E55" si="35">B55*0.875</f>
        <v>1296.75</v>
      </c>
      <c r="F55">
        <f t="shared" ref="F55" si="36">B55*0.75</f>
        <v>1111.5</v>
      </c>
      <c r="G55">
        <f t="shared" ref="G55" si="37">B55*0.625</f>
        <v>926.25</v>
      </c>
      <c r="H55">
        <f t="shared" ref="H55" si="38">B55*0.5</f>
        <v>741</v>
      </c>
      <c r="I55">
        <f>B55*0.375</f>
        <v>555.75</v>
      </c>
      <c r="J55">
        <f>B55*0.25</f>
        <v>370.5</v>
      </c>
      <c r="K55">
        <f>B55*0.125</f>
        <v>185.25</v>
      </c>
      <c r="L55">
        <f>B55*0.0625</f>
        <v>92.625</v>
      </c>
      <c r="M55" t="str">
        <f t="shared" ref="M55:M62" si="39">A2</f>
        <v>AoT</v>
      </c>
    </row>
    <row r="56" spans="1:17" x14ac:dyDescent="0.25">
      <c r="A56" t="str">
        <f t="shared" si="34"/>
        <v>CoD5</v>
      </c>
      <c r="B56">
        <f t="shared" si="34"/>
        <v>428</v>
      </c>
      <c r="C56" s="2">
        <f t="shared" si="34"/>
        <v>19</v>
      </c>
      <c r="D56">
        <f t="shared" ref="D56:D63" si="40">B56*1</f>
        <v>428</v>
      </c>
      <c r="E56">
        <f t="shared" ref="E56:E63" si="41">B56*0.875</f>
        <v>374.5</v>
      </c>
      <c r="F56">
        <f t="shared" ref="F56:F63" si="42">B56*0.75</f>
        <v>321</v>
      </c>
      <c r="G56">
        <f t="shared" ref="G56:G63" si="43">B56*0.625</f>
        <v>267.5</v>
      </c>
      <c r="H56">
        <f t="shared" ref="H56:H63" si="44">B56*0.5</f>
        <v>214</v>
      </c>
      <c r="I56">
        <f t="shared" ref="I56:I63" si="45">B56*0.375</f>
        <v>160.5</v>
      </c>
      <c r="J56">
        <f t="shared" ref="J56:J63" si="46">B56*0.25</f>
        <v>107</v>
      </c>
      <c r="K56">
        <f t="shared" ref="K56:K63" si="47">B56*0.125</f>
        <v>53.5</v>
      </c>
      <c r="L56">
        <f t="shared" ref="L56:L63" si="48">B56*0.0625</f>
        <v>26.75</v>
      </c>
      <c r="M56" t="str">
        <f t="shared" si="39"/>
        <v>CoD5</v>
      </c>
    </row>
    <row r="57" spans="1:17" x14ac:dyDescent="0.25">
      <c r="A57" t="str">
        <f t="shared" si="34"/>
        <v>Plátano</v>
      </c>
      <c r="B57">
        <f t="shared" si="34"/>
        <v>430</v>
      </c>
      <c r="C57" s="2">
        <f t="shared" si="34"/>
        <v>21</v>
      </c>
      <c r="D57">
        <f t="shared" si="40"/>
        <v>430</v>
      </c>
      <c r="E57">
        <f t="shared" si="41"/>
        <v>376.25</v>
      </c>
      <c r="F57">
        <f t="shared" si="42"/>
        <v>322.5</v>
      </c>
      <c r="G57">
        <f t="shared" si="43"/>
        <v>268.75</v>
      </c>
      <c r="H57">
        <f t="shared" si="44"/>
        <v>215</v>
      </c>
      <c r="I57">
        <f t="shared" si="45"/>
        <v>161.25</v>
      </c>
      <c r="J57">
        <f t="shared" si="46"/>
        <v>107.5</v>
      </c>
      <c r="K57">
        <f t="shared" si="47"/>
        <v>53.75</v>
      </c>
      <c r="L57">
        <f t="shared" si="48"/>
        <v>26.875</v>
      </c>
      <c r="M57" t="str">
        <f t="shared" si="39"/>
        <v>Plátano</v>
      </c>
    </row>
    <row r="58" spans="1:17" x14ac:dyDescent="0.25">
      <c r="A58" t="str">
        <f t="shared" si="34"/>
        <v>CoD6</v>
      </c>
      <c r="B58">
        <f t="shared" si="34"/>
        <v>646</v>
      </c>
      <c r="C58" s="2">
        <f t="shared" si="34"/>
        <v>28</v>
      </c>
      <c r="D58">
        <f t="shared" si="40"/>
        <v>646</v>
      </c>
      <c r="E58">
        <f t="shared" si="41"/>
        <v>565.25</v>
      </c>
      <c r="F58">
        <f t="shared" si="42"/>
        <v>484.5</v>
      </c>
      <c r="G58">
        <f t="shared" si="43"/>
        <v>403.75</v>
      </c>
      <c r="H58">
        <f t="shared" si="44"/>
        <v>323</v>
      </c>
      <c r="I58">
        <f t="shared" si="45"/>
        <v>242.25</v>
      </c>
      <c r="J58">
        <f t="shared" si="46"/>
        <v>161.5</v>
      </c>
      <c r="K58">
        <f t="shared" si="47"/>
        <v>80.75</v>
      </c>
      <c r="L58">
        <f t="shared" si="48"/>
        <v>40.375</v>
      </c>
      <c r="M58" t="str">
        <f t="shared" si="39"/>
        <v>CoD6</v>
      </c>
    </row>
    <row r="59" spans="1:17" x14ac:dyDescent="0.25">
      <c r="A59" t="str">
        <f t="shared" si="34"/>
        <v>CoD7</v>
      </c>
      <c r="B59">
        <f t="shared" si="34"/>
        <v>820</v>
      </c>
      <c r="C59" s="2">
        <f t="shared" si="34"/>
        <v>37</v>
      </c>
      <c r="D59">
        <f t="shared" si="40"/>
        <v>820</v>
      </c>
      <c r="E59">
        <f t="shared" si="41"/>
        <v>717.5</v>
      </c>
      <c r="F59">
        <f t="shared" si="42"/>
        <v>615</v>
      </c>
      <c r="G59">
        <f t="shared" si="43"/>
        <v>512.5</v>
      </c>
      <c r="H59">
        <f t="shared" si="44"/>
        <v>410</v>
      </c>
      <c r="I59">
        <f t="shared" si="45"/>
        <v>307.5</v>
      </c>
      <c r="J59">
        <f t="shared" si="46"/>
        <v>205</v>
      </c>
      <c r="K59">
        <f t="shared" si="47"/>
        <v>102.5</v>
      </c>
      <c r="L59">
        <f t="shared" si="48"/>
        <v>51.25</v>
      </c>
      <c r="M59" t="str">
        <f t="shared" si="39"/>
        <v>CoD7</v>
      </c>
    </row>
    <row r="60" spans="1:17" x14ac:dyDescent="0.25">
      <c r="A60" t="str">
        <f t="shared" si="34"/>
        <v>Caparazón</v>
      </c>
      <c r="B60">
        <f t="shared" si="34"/>
        <v>694</v>
      </c>
      <c r="C60" s="2">
        <f t="shared" si="34"/>
        <v>31</v>
      </c>
      <c r="D60">
        <f t="shared" si="40"/>
        <v>694</v>
      </c>
      <c r="E60">
        <f t="shared" si="41"/>
        <v>607.25</v>
      </c>
      <c r="F60">
        <f t="shared" si="42"/>
        <v>520.5</v>
      </c>
      <c r="G60">
        <f t="shared" si="43"/>
        <v>433.75</v>
      </c>
      <c r="H60">
        <f t="shared" si="44"/>
        <v>347</v>
      </c>
      <c r="I60">
        <f t="shared" si="45"/>
        <v>260.25</v>
      </c>
      <c r="J60">
        <f t="shared" si="46"/>
        <v>173.5</v>
      </c>
      <c r="K60">
        <f t="shared" si="47"/>
        <v>86.75</v>
      </c>
      <c r="L60">
        <f t="shared" si="48"/>
        <v>43.375</v>
      </c>
      <c r="M60" t="str">
        <f t="shared" si="39"/>
        <v>Caparazón</v>
      </c>
    </row>
    <row r="61" spans="1:17" x14ac:dyDescent="0.25">
      <c r="A61" t="str">
        <f t="shared" si="34"/>
        <v>CoD8</v>
      </c>
      <c r="B61">
        <f t="shared" si="34"/>
        <v>708</v>
      </c>
      <c r="C61" s="2">
        <f t="shared" si="34"/>
        <v>30</v>
      </c>
      <c r="D61">
        <f t="shared" si="40"/>
        <v>708</v>
      </c>
      <c r="E61">
        <f t="shared" si="41"/>
        <v>619.5</v>
      </c>
      <c r="F61">
        <f t="shared" si="42"/>
        <v>531</v>
      </c>
      <c r="G61">
        <f t="shared" si="43"/>
        <v>442.5</v>
      </c>
      <c r="H61">
        <f t="shared" si="44"/>
        <v>354</v>
      </c>
      <c r="I61">
        <f t="shared" si="45"/>
        <v>265.5</v>
      </c>
      <c r="J61">
        <f t="shared" si="46"/>
        <v>177</v>
      </c>
      <c r="K61">
        <f t="shared" si="47"/>
        <v>88.5</v>
      </c>
      <c r="L61">
        <f t="shared" si="48"/>
        <v>44.25</v>
      </c>
      <c r="M61" t="str">
        <f t="shared" si="39"/>
        <v>CoD8</v>
      </c>
    </row>
    <row r="62" spans="1:17" x14ac:dyDescent="0.25">
      <c r="A62" s="7" t="str">
        <f t="shared" si="34"/>
        <v>CoD9</v>
      </c>
      <c r="B62" s="7">
        <f t="shared" si="34"/>
        <v>612</v>
      </c>
      <c r="C62" s="8">
        <f t="shared" si="34"/>
        <v>24</v>
      </c>
      <c r="D62" s="7">
        <f t="shared" si="40"/>
        <v>612</v>
      </c>
      <c r="E62" s="7">
        <f t="shared" si="41"/>
        <v>535.5</v>
      </c>
      <c r="F62" s="7">
        <f t="shared" si="42"/>
        <v>459</v>
      </c>
      <c r="G62" s="7">
        <f t="shared" si="43"/>
        <v>382.5</v>
      </c>
      <c r="H62" s="7">
        <f t="shared" si="44"/>
        <v>306</v>
      </c>
      <c r="I62" s="7">
        <f t="shared" si="45"/>
        <v>229.5</v>
      </c>
      <c r="J62" s="7">
        <f t="shared" si="46"/>
        <v>153</v>
      </c>
      <c r="K62" s="7">
        <f t="shared" si="47"/>
        <v>76.5</v>
      </c>
      <c r="L62" s="7">
        <f t="shared" si="48"/>
        <v>38.25</v>
      </c>
      <c r="M62" s="7" t="str">
        <f t="shared" si="39"/>
        <v>CoD9</v>
      </c>
    </row>
    <row r="63" spans="1:17" x14ac:dyDescent="0.25">
      <c r="A63" t="str">
        <f t="shared" ref="A63:C63" si="49">A10</f>
        <v>Hoja</v>
      </c>
      <c r="B63">
        <f t="shared" si="49"/>
        <v>350</v>
      </c>
      <c r="C63" s="2">
        <f t="shared" si="49"/>
        <v>16</v>
      </c>
      <c r="D63">
        <f t="shared" si="40"/>
        <v>350</v>
      </c>
      <c r="E63">
        <f t="shared" si="41"/>
        <v>306.25</v>
      </c>
      <c r="F63">
        <f t="shared" si="42"/>
        <v>262.5</v>
      </c>
      <c r="G63">
        <f t="shared" si="43"/>
        <v>218.75</v>
      </c>
      <c r="H63">
        <f t="shared" si="44"/>
        <v>175</v>
      </c>
      <c r="I63">
        <f t="shared" si="45"/>
        <v>131.25</v>
      </c>
      <c r="J63">
        <f t="shared" si="46"/>
        <v>87.5</v>
      </c>
      <c r="K63">
        <f t="shared" si="47"/>
        <v>43.75</v>
      </c>
      <c r="L63">
        <f t="shared" si="48"/>
        <v>21.875</v>
      </c>
      <c r="M63" t="str">
        <f t="shared" ref="M63:M73" si="50">A10</f>
        <v>Hoja</v>
      </c>
    </row>
    <row r="64" spans="1:17" x14ac:dyDescent="0.25">
      <c r="A64" t="str">
        <f t="shared" ref="A64:C64" si="51">A11</f>
        <v>Centella</v>
      </c>
      <c r="B64">
        <f t="shared" si="51"/>
        <v>344</v>
      </c>
      <c r="C64" s="2">
        <f t="shared" si="51"/>
        <v>14</v>
      </c>
      <c r="D64">
        <f t="shared" ref="D64:D73" si="52">B64*1</f>
        <v>344</v>
      </c>
      <c r="E64">
        <f t="shared" ref="E64:E73" si="53">B64*0.875</f>
        <v>301</v>
      </c>
      <c r="F64">
        <f t="shared" ref="F64:F73" si="54">B64*0.75</f>
        <v>258</v>
      </c>
      <c r="G64">
        <f t="shared" ref="G64:G73" si="55">B64*0.625</f>
        <v>215</v>
      </c>
      <c r="H64">
        <f t="shared" ref="H64:H73" si="56">B64*0.5</f>
        <v>172</v>
      </c>
      <c r="I64">
        <f t="shared" ref="I64:I73" si="57">B64*0.375</f>
        <v>129</v>
      </c>
      <c r="J64">
        <f t="shared" ref="J64:J73" si="58">B64*0.25</f>
        <v>86</v>
      </c>
      <c r="K64">
        <f t="shared" ref="K64:K73" si="59">B64*0.125</f>
        <v>43</v>
      </c>
      <c r="L64">
        <f t="shared" ref="L64:L73" si="60">B64*0.0625</f>
        <v>21.5</v>
      </c>
      <c r="M64" t="str">
        <f t="shared" si="50"/>
        <v>Centella</v>
      </c>
    </row>
    <row r="65" spans="1:13" x14ac:dyDescent="0.25">
      <c r="A65" t="str">
        <f t="shared" ref="A65:C65" si="61">A12</f>
        <v>CoD10</v>
      </c>
      <c r="B65">
        <f t="shared" si="61"/>
        <v>892</v>
      </c>
      <c r="C65" s="2">
        <f t="shared" si="61"/>
        <v>41</v>
      </c>
      <c r="D65">
        <f t="shared" si="52"/>
        <v>892</v>
      </c>
      <c r="E65">
        <f t="shared" si="53"/>
        <v>780.5</v>
      </c>
      <c r="F65">
        <f t="shared" si="54"/>
        <v>669</v>
      </c>
      <c r="G65">
        <f t="shared" si="55"/>
        <v>557.5</v>
      </c>
      <c r="H65">
        <f t="shared" si="56"/>
        <v>446</v>
      </c>
      <c r="I65">
        <f t="shared" si="57"/>
        <v>334.5</v>
      </c>
      <c r="J65">
        <f t="shared" si="58"/>
        <v>223</v>
      </c>
      <c r="K65">
        <f t="shared" si="59"/>
        <v>111.5</v>
      </c>
      <c r="L65">
        <f t="shared" si="60"/>
        <v>55.75</v>
      </c>
      <c r="M65" t="str">
        <f t="shared" si="50"/>
        <v>CoD10</v>
      </c>
    </row>
    <row r="66" spans="1:13" x14ac:dyDescent="0.25">
      <c r="A66" t="str">
        <f t="shared" ref="A66:C66" si="62">A13</f>
        <v>Huevo</v>
      </c>
      <c r="B66">
        <f t="shared" si="62"/>
        <v>602</v>
      </c>
      <c r="C66" s="2">
        <f t="shared" si="62"/>
        <v>21</v>
      </c>
      <c r="D66">
        <f t="shared" si="52"/>
        <v>602</v>
      </c>
      <c r="E66">
        <f t="shared" si="53"/>
        <v>526.75</v>
      </c>
      <c r="F66">
        <f t="shared" si="54"/>
        <v>451.5</v>
      </c>
      <c r="G66">
        <f t="shared" si="55"/>
        <v>376.25</v>
      </c>
      <c r="H66">
        <f t="shared" si="56"/>
        <v>301</v>
      </c>
      <c r="I66">
        <f t="shared" si="57"/>
        <v>225.75</v>
      </c>
      <c r="J66">
        <f t="shared" si="58"/>
        <v>150.5</v>
      </c>
      <c r="K66">
        <f t="shared" si="59"/>
        <v>75.25</v>
      </c>
      <c r="L66">
        <f t="shared" si="60"/>
        <v>37.625</v>
      </c>
      <c r="M66" t="str">
        <f t="shared" si="50"/>
        <v>Huevo</v>
      </c>
    </row>
    <row r="67" spans="1:13" x14ac:dyDescent="0.25">
      <c r="A67" t="str">
        <f t="shared" ref="A67:C67" si="63">A14</f>
        <v>CoD11</v>
      </c>
      <c r="B67">
        <f t="shared" si="63"/>
        <v>430</v>
      </c>
      <c r="C67" s="2">
        <f t="shared" si="63"/>
        <v>21</v>
      </c>
      <c r="D67">
        <f t="shared" si="52"/>
        <v>430</v>
      </c>
      <c r="E67">
        <f t="shared" si="53"/>
        <v>376.25</v>
      </c>
      <c r="F67">
        <f t="shared" si="54"/>
        <v>322.5</v>
      </c>
      <c r="G67">
        <f t="shared" si="55"/>
        <v>268.75</v>
      </c>
      <c r="H67">
        <f t="shared" si="56"/>
        <v>215</v>
      </c>
      <c r="I67">
        <f t="shared" si="57"/>
        <v>161.25</v>
      </c>
      <c r="J67">
        <f t="shared" si="58"/>
        <v>107.5</v>
      </c>
      <c r="K67">
        <f t="shared" si="59"/>
        <v>53.75</v>
      </c>
      <c r="L67">
        <f t="shared" si="60"/>
        <v>26.875</v>
      </c>
      <c r="M67" t="str">
        <f t="shared" si="50"/>
        <v>CoD11</v>
      </c>
    </row>
    <row r="68" spans="1:13" x14ac:dyDescent="0.25">
      <c r="A68" t="str">
        <f t="shared" ref="A68:C68" si="64">A15</f>
        <v>Crossing</v>
      </c>
      <c r="B68">
        <f t="shared" si="64"/>
        <v>414</v>
      </c>
      <c r="C68" s="2">
        <f t="shared" si="64"/>
        <v>20</v>
      </c>
      <c r="D68">
        <f t="shared" si="52"/>
        <v>414</v>
      </c>
      <c r="E68">
        <f t="shared" si="53"/>
        <v>362.25</v>
      </c>
      <c r="F68">
        <f t="shared" si="54"/>
        <v>310.5</v>
      </c>
      <c r="G68">
        <f t="shared" si="55"/>
        <v>258.75</v>
      </c>
      <c r="H68">
        <f t="shared" si="56"/>
        <v>207</v>
      </c>
      <c r="I68">
        <f t="shared" si="57"/>
        <v>155.25</v>
      </c>
      <c r="J68">
        <f t="shared" si="58"/>
        <v>103.5</v>
      </c>
      <c r="K68">
        <f t="shared" si="59"/>
        <v>51.75</v>
      </c>
      <c r="L68">
        <f t="shared" si="60"/>
        <v>25.875</v>
      </c>
      <c r="M68" t="str">
        <f t="shared" si="50"/>
        <v>Crossing</v>
      </c>
    </row>
    <row r="69" spans="1:13" x14ac:dyDescent="0.25">
      <c r="A69" t="str">
        <f t="shared" ref="A69:C69" si="65">A16</f>
        <v>CoD12</v>
      </c>
      <c r="B69">
        <f t="shared" si="65"/>
        <v>466</v>
      </c>
      <c r="C69" s="2">
        <f t="shared" si="65"/>
        <v>17</v>
      </c>
      <c r="D69">
        <f t="shared" si="52"/>
        <v>466</v>
      </c>
      <c r="E69">
        <f t="shared" si="53"/>
        <v>407.75</v>
      </c>
      <c r="F69">
        <f t="shared" si="54"/>
        <v>349.5</v>
      </c>
      <c r="G69">
        <f t="shared" si="55"/>
        <v>291.25</v>
      </c>
      <c r="H69">
        <f t="shared" si="56"/>
        <v>233</v>
      </c>
      <c r="I69">
        <f t="shared" si="57"/>
        <v>174.75</v>
      </c>
      <c r="J69">
        <f t="shared" si="58"/>
        <v>116.5</v>
      </c>
      <c r="K69">
        <f t="shared" si="59"/>
        <v>58.25</v>
      </c>
      <c r="L69">
        <f t="shared" si="60"/>
        <v>29.125</v>
      </c>
      <c r="M69" t="str">
        <f t="shared" si="50"/>
        <v>CoD12</v>
      </c>
    </row>
    <row r="70" spans="1:13" x14ac:dyDescent="0.25">
      <c r="A70" t="str">
        <f t="shared" ref="A70:C70" si="66">A17</f>
        <v>Trifuerza</v>
      </c>
      <c r="B70">
        <f t="shared" si="66"/>
        <v>272</v>
      </c>
      <c r="C70" s="2">
        <f t="shared" si="66"/>
        <v>12</v>
      </c>
      <c r="D70">
        <f t="shared" si="52"/>
        <v>272</v>
      </c>
      <c r="E70">
        <f t="shared" si="53"/>
        <v>238</v>
      </c>
      <c r="F70">
        <f t="shared" si="54"/>
        <v>204</v>
      </c>
      <c r="G70">
        <f t="shared" si="55"/>
        <v>170</v>
      </c>
      <c r="H70">
        <f t="shared" si="56"/>
        <v>136</v>
      </c>
      <c r="I70">
        <f t="shared" si="57"/>
        <v>102</v>
      </c>
      <c r="J70">
        <f t="shared" si="58"/>
        <v>68</v>
      </c>
      <c r="K70">
        <f t="shared" si="59"/>
        <v>34</v>
      </c>
      <c r="L70">
        <f t="shared" si="60"/>
        <v>17</v>
      </c>
      <c r="M70" t="str">
        <f t="shared" si="50"/>
        <v>Trifuerza</v>
      </c>
    </row>
    <row r="71" spans="1:13" x14ac:dyDescent="0.25">
      <c r="A71" t="str">
        <f t="shared" ref="A71:C71" si="67">A18</f>
        <v>CoD13</v>
      </c>
      <c r="B71">
        <f t="shared" si="67"/>
        <v>378</v>
      </c>
      <c r="C71" s="2">
        <f t="shared" si="67"/>
        <v>17</v>
      </c>
      <c r="D71">
        <f t="shared" si="52"/>
        <v>378</v>
      </c>
      <c r="E71">
        <f t="shared" si="53"/>
        <v>330.75</v>
      </c>
      <c r="F71">
        <f t="shared" si="54"/>
        <v>283.5</v>
      </c>
      <c r="G71">
        <f t="shared" si="55"/>
        <v>236.25</v>
      </c>
      <c r="H71">
        <f t="shared" si="56"/>
        <v>189</v>
      </c>
      <c r="I71">
        <f t="shared" si="57"/>
        <v>141.75</v>
      </c>
      <c r="J71">
        <f t="shared" si="58"/>
        <v>94.5</v>
      </c>
      <c r="K71">
        <f t="shared" si="59"/>
        <v>47.25</v>
      </c>
      <c r="L71">
        <f t="shared" si="60"/>
        <v>23.625</v>
      </c>
      <c r="M71" t="str">
        <f t="shared" si="50"/>
        <v>CoD13</v>
      </c>
    </row>
    <row r="72" spans="1:13" x14ac:dyDescent="0.25">
      <c r="A72" t="str">
        <f t="shared" ref="A72:C72" si="68">A19</f>
        <v>Campana</v>
      </c>
      <c r="B72">
        <f t="shared" si="68"/>
        <v>210</v>
      </c>
      <c r="C72" s="2">
        <f t="shared" si="68"/>
        <v>10</v>
      </c>
      <c r="D72">
        <f t="shared" si="52"/>
        <v>210</v>
      </c>
      <c r="E72">
        <f t="shared" si="53"/>
        <v>183.75</v>
      </c>
      <c r="F72">
        <f t="shared" si="54"/>
        <v>157.5</v>
      </c>
      <c r="G72">
        <f t="shared" si="55"/>
        <v>131.25</v>
      </c>
      <c r="H72">
        <f t="shared" si="56"/>
        <v>105</v>
      </c>
      <c r="I72">
        <f t="shared" si="57"/>
        <v>78.75</v>
      </c>
      <c r="J72">
        <f t="shared" si="58"/>
        <v>52.5</v>
      </c>
      <c r="K72">
        <f t="shared" si="59"/>
        <v>26.25</v>
      </c>
      <c r="L72">
        <f t="shared" si="60"/>
        <v>13.125</v>
      </c>
      <c r="M72" t="str">
        <f t="shared" si="50"/>
        <v>Campana</v>
      </c>
    </row>
    <row r="73" spans="1:13" x14ac:dyDescent="0.25">
      <c r="A73" t="str">
        <f t="shared" ref="A73:C73" si="69">A20</f>
        <v>PoD:TLS</v>
      </c>
      <c r="B73">
        <f t="shared" si="69"/>
        <v>822</v>
      </c>
      <c r="C73" s="2">
        <f t="shared" si="69"/>
        <v>31</v>
      </c>
      <c r="D73">
        <f t="shared" si="52"/>
        <v>822</v>
      </c>
      <c r="E73">
        <f t="shared" si="53"/>
        <v>719.25</v>
      </c>
      <c r="F73">
        <f t="shared" si="54"/>
        <v>616.5</v>
      </c>
      <c r="G73">
        <f t="shared" si="55"/>
        <v>513.75</v>
      </c>
      <c r="H73">
        <f t="shared" si="56"/>
        <v>411</v>
      </c>
      <c r="I73">
        <f t="shared" si="57"/>
        <v>308.25</v>
      </c>
      <c r="J73">
        <f t="shared" si="58"/>
        <v>205.5</v>
      </c>
      <c r="K73">
        <f t="shared" si="59"/>
        <v>102.75</v>
      </c>
      <c r="L73">
        <f t="shared" si="60"/>
        <v>51.375</v>
      </c>
      <c r="M73" t="str">
        <f t="shared" si="50"/>
        <v>PoD:TLS</v>
      </c>
    </row>
    <row r="77" spans="1:13" x14ac:dyDescent="0.25">
      <c r="A77" t="s">
        <v>150</v>
      </c>
    </row>
    <row r="78" spans="1:13" x14ac:dyDescent="0.25">
      <c r="A78" t="str">
        <f>A1</f>
        <v>Torneo</v>
      </c>
      <c r="B78" t="str">
        <f>B1</f>
        <v>Scores fixed</v>
      </c>
      <c r="C78" s="2" t="str">
        <f>C1</f>
        <v>Entrants</v>
      </c>
      <c r="D78">
        <v>1</v>
      </c>
      <c r="E78">
        <v>2</v>
      </c>
      <c r="F78">
        <v>3</v>
      </c>
      <c r="G78">
        <v>4</v>
      </c>
      <c r="H78">
        <v>5</v>
      </c>
      <c r="I78">
        <v>7</v>
      </c>
      <c r="J78">
        <v>9</v>
      </c>
      <c r="K78">
        <v>13</v>
      </c>
      <c r="L78">
        <v>17</v>
      </c>
    </row>
    <row r="79" spans="1:13" x14ac:dyDescent="0.25">
      <c r="A79" t="str">
        <f t="shared" ref="A79:C79" si="70">A2</f>
        <v>AoT</v>
      </c>
      <c r="B79">
        <f t="shared" si="70"/>
        <v>1482</v>
      </c>
      <c r="C79" s="2">
        <f t="shared" si="70"/>
        <v>52</v>
      </c>
      <c r="D79">
        <f>ROUND(D55,0)</f>
        <v>1482</v>
      </c>
      <c r="E79">
        <f t="shared" ref="E79:L79" si="71">ROUND(E55,0)</f>
        <v>1297</v>
      </c>
      <c r="F79">
        <f t="shared" si="71"/>
        <v>1112</v>
      </c>
      <c r="G79">
        <f t="shared" si="71"/>
        <v>926</v>
      </c>
      <c r="H79">
        <f t="shared" si="71"/>
        <v>741</v>
      </c>
      <c r="I79">
        <f t="shared" si="71"/>
        <v>556</v>
      </c>
      <c r="J79">
        <f t="shared" si="71"/>
        <v>371</v>
      </c>
      <c r="K79">
        <f t="shared" si="71"/>
        <v>185</v>
      </c>
      <c r="L79">
        <f t="shared" si="71"/>
        <v>93</v>
      </c>
      <c r="M79" t="str">
        <f>A2</f>
        <v>AoT</v>
      </c>
    </row>
    <row r="80" spans="1:13" x14ac:dyDescent="0.25">
      <c r="A80" t="str">
        <f t="shared" ref="A80:C80" si="72">A3</f>
        <v>CoD5</v>
      </c>
      <c r="B80">
        <f t="shared" si="72"/>
        <v>428</v>
      </c>
      <c r="C80" s="2">
        <f t="shared" si="72"/>
        <v>19</v>
      </c>
      <c r="D80">
        <f t="shared" ref="D80:L80" si="73">ROUND(D56,0)</f>
        <v>428</v>
      </c>
      <c r="E80">
        <f t="shared" si="73"/>
        <v>375</v>
      </c>
      <c r="F80">
        <f t="shared" si="73"/>
        <v>321</v>
      </c>
      <c r="G80">
        <f t="shared" si="73"/>
        <v>268</v>
      </c>
      <c r="H80">
        <f t="shared" si="73"/>
        <v>214</v>
      </c>
      <c r="I80">
        <f t="shared" si="73"/>
        <v>161</v>
      </c>
      <c r="J80">
        <f t="shared" si="73"/>
        <v>107</v>
      </c>
      <c r="K80">
        <f t="shared" si="73"/>
        <v>54</v>
      </c>
      <c r="L80">
        <f t="shared" si="73"/>
        <v>27</v>
      </c>
      <c r="M80" t="str">
        <f t="shared" ref="M80:M97" si="74">A3</f>
        <v>CoD5</v>
      </c>
    </row>
    <row r="81" spans="1:13" x14ac:dyDescent="0.25">
      <c r="A81" t="str">
        <f t="shared" ref="A81:C81" si="75">A4</f>
        <v>Plátano</v>
      </c>
      <c r="B81">
        <f t="shared" si="75"/>
        <v>430</v>
      </c>
      <c r="C81" s="2">
        <f t="shared" si="75"/>
        <v>21</v>
      </c>
      <c r="D81">
        <f t="shared" ref="D81:L81" si="76">ROUND(D57,0)</f>
        <v>430</v>
      </c>
      <c r="E81">
        <f t="shared" si="76"/>
        <v>376</v>
      </c>
      <c r="F81">
        <f t="shared" si="76"/>
        <v>323</v>
      </c>
      <c r="G81">
        <f t="shared" si="76"/>
        <v>269</v>
      </c>
      <c r="H81">
        <f t="shared" si="76"/>
        <v>215</v>
      </c>
      <c r="I81">
        <f t="shared" si="76"/>
        <v>161</v>
      </c>
      <c r="J81">
        <f t="shared" si="76"/>
        <v>108</v>
      </c>
      <c r="K81">
        <f t="shared" si="76"/>
        <v>54</v>
      </c>
      <c r="L81">
        <f t="shared" si="76"/>
        <v>27</v>
      </c>
      <c r="M81" t="str">
        <f t="shared" si="74"/>
        <v>Plátano</v>
      </c>
    </row>
    <row r="82" spans="1:13" x14ac:dyDescent="0.25">
      <c r="A82" t="str">
        <f t="shared" ref="A82:C82" si="77">A5</f>
        <v>CoD6</v>
      </c>
      <c r="B82">
        <f t="shared" si="77"/>
        <v>646</v>
      </c>
      <c r="C82" s="2">
        <f t="shared" si="77"/>
        <v>28</v>
      </c>
      <c r="D82">
        <f t="shared" ref="D82:L82" si="78">ROUND(D58,0)</f>
        <v>646</v>
      </c>
      <c r="E82">
        <f t="shared" si="78"/>
        <v>565</v>
      </c>
      <c r="F82">
        <f t="shared" si="78"/>
        <v>485</v>
      </c>
      <c r="G82">
        <f t="shared" si="78"/>
        <v>404</v>
      </c>
      <c r="H82">
        <f t="shared" si="78"/>
        <v>323</v>
      </c>
      <c r="I82">
        <f t="shared" si="78"/>
        <v>242</v>
      </c>
      <c r="J82">
        <f t="shared" si="78"/>
        <v>162</v>
      </c>
      <c r="K82">
        <f t="shared" si="78"/>
        <v>81</v>
      </c>
      <c r="L82">
        <f t="shared" si="78"/>
        <v>40</v>
      </c>
      <c r="M82" t="str">
        <f t="shared" si="74"/>
        <v>CoD6</v>
      </c>
    </row>
    <row r="83" spans="1:13" x14ac:dyDescent="0.25">
      <c r="A83" t="str">
        <f t="shared" ref="A83:C83" si="79">A6</f>
        <v>CoD7</v>
      </c>
      <c r="B83">
        <f t="shared" si="79"/>
        <v>820</v>
      </c>
      <c r="C83" s="2">
        <f t="shared" si="79"/>
        <v>37</v>
      </c>
      <c r="D83">
        <f t="shared" ref="D83:L83" si="80">ROUND(D59,0)</f>
        <v>820</v>
      </c>
      <c r="E83">
        <f t="shared" si="80"/>
        <v>718</v>
      </c>
      <c r="F83">
        <f t="shared" si="80"/>
        <v>615</v>
      </c>
      <c r="G83">
        <f t="shared" si="80"/>
        <v>513</v>
      </c>
      <c r="H83">
        <f t="shared" si="80"/>
        <v>410</v>
      </c>
      <c r="I83">
        <f t="shared" si="80"/>
        <v>308</v>
      </c>
      <c r="J83">
        <f t="shared" si="80"/>
        <v>205</v>
      </c>
      <c r="K83">
        <f t="shared" si="80"/>
        <v>103</v>
      </c>
      <c r="L83">
        <f t="shared" si="80"/>
        <v>51</v>
      </c>
      <c r="M83" t="str">
        <f t="shared" si="74"/>
        <v>CoD7</v>
      </c>
    </row>
    <row r="84" spans="1:13" x14ac:dyDescent="0.25">
      <c r="A84" t="str">
        <f t="shared" ref="A84:C84" si="81">A7</f>
        <v>Caparazón</v>
      </c>
      <c r="B84">
        <f t="shared" si="81"/>
        <v>694</v>
      </c>
      <c r="C84" s="2">
        <f t="shared" si="81"/>
        <v>31</v>
      </c>
      <c r="D84">
        <f t="shared" ref="D84:L84" si="82">ROUND(D60,0)</f>
        <v>694</v>
      </c>
      <c r="E84">
        <f t="shared" si="82"/>
        <v>607</v>
      </c>
      <c r="F84">
        <f t="shared" si="82"/>
        <v>521</v>
      </c>
      <c r="G84">
        <f t="shared" si="82"/>
        <v>434</v>
      </c>
      <c r="H84">
        <f t="shared" si="82"/>
        <v>347</v>
      </c>
      <c r="I84">
        <f t="shared" si="82"/>
        <v>260</v>
      </c>
      <c r="J84">
        <f t="shared" si="82"/>
        <v>174</v>
      </c>
      <c r="K84">
        <f t="shared" si="82"/>
        <v>87</v>
      </c>
      <c r="L84">
        <f t="shared" si="82"/>
        <v>43</v>
      </c>
      <c r="M84" t="str">
        <f t="shared" si="74"/>
        <v>Caparazón</v>
      </c>
    </row>
    <row r="85" spans="1:13" x14ac:dyDescent="0.25">
      <c r="A85" t="str">
        <f t="shared" ref="A85:C85" si="83">A8</f>
        <v>CoD8</v>
      </c>
      <c r="B85">
        <f t="shared" si="83"/>
        <v>708</v>
      </c>
      <c r="C85" s="2">
        <f t="shared" si="83"/>
        <v>30</v>
      </c>
      <c r="D85">
        <f t="shared" ref="D85:L85" si="84">ROUND(D61,0)</f>
        <v>708</v>
      </c>
      <c r="E85">
        <f t="shared" si="84"/>
        <v>620</v>
      </c>
      <c r="F85">
        <f t="shared" si="84"/>
        <v>531</v>
      </c>
      <c r="G85">
        <f t="shared" si="84"/>
        <v>443</v>
      </c>
      <c r="H85">
        <f t="shared" si="84"/>
        <v>354</v>
      </c>
      <c r="I85">
        <f t="shared" si="84"/>
        <v>266</v>
      </c>
      <c r="J85">
        <f t="shared" si="84"/>
        <v>177</v>
      </c>
      <c r="K85">
        <f t="shared" si="84"/>
        <v>89</v>
      </c>
      <c r="L85">
        <f t="shared" si="84"/>
        <v>44</v>
      </c>
      <c r="M85" t="str">
        <f t="shared" si="74"/>
        <v>CoD8</v>
      </c>
    </row>
    <row r="86" spans="1:13" x14ac:dyDescent="0.25">
      <c r="A86" s="7" t="str">
        <f t="shared" ref="A86:C86" si="85">A9</f>
        <v>CoD9</v>
      </c>
      <c r="B86" s="7">
        <f t="shared" si="85"/>
        <v>612</v>
      </c>
      <c r="C86" s="8">
        <f t="shared" si="85"/>
        <v>24</v>
      </c>
      <c r="D86" s="7">
        <f t="shared" ref="D86:L86" si="86">ROUND(D62,0)</f>
        <v>612</v>
      </c>
      <c r="E86" s="7">
        <f t="shared" si="86"/>
        <v>536</v>
      </c>
      <c r="F86" s="7">
        <f t="shared" si="86"/>
        <v>459</v>
      </c>
      <c r="G86" s="7">
        <f t="shared" si="86"/>
        <v>383</v>
      </c>
      <c r="H86" s="7">
        <f t="shared" si="86"/>
        <v>306</v>
      </c>
      <c r="I86" s="7">
        <f t="shared" si="86"/>
        <v>230</v>
      </c>
      <c r="J86" s="7">
        <f t="shared" si="86"/>
        <v>153</v>
      </c>
      <c r="K86" s="7">
        <f t="shared" si="86"/>
        <v>77</v>
      </c>
      <c r="L86" s="7">
        <f t="shared" si="86"/>
        <v>38</v>
      </c>
      <c r="M86" s="7" t="str">
        <f t="shared" si="74"/>
        <v>CoD9</v>
      </c>
    </row>
    <row r="87" spans="1:13" x14ac:dyDescent="0.25">
      <c r="A87" t="str">
        <f t="shared" ref="A87:C87" si="87">A10</f>
        <v>Hoja</v>
      </c>
      <c r="B87">
        <f t="shared" si="87"/>
        <v>350</v>
      </c>
      <c r="C87" s="2">
        <f t="shared" si="87"/>
        <v>16</v>
      </c>
      <c r="D87">
        <f t="shared" ref="D87:L87" si="88">ROUND(D63,0)</f>
        <v>350</v>
      </c>
      <c r="E87">
        <f t="shared" si="88"/>
        <v>306</v>
      </c>
      <c r="F87">
        <f t="shared" si="88"/>
        <v>263</v>
      </c>
      <c r="G87">
        <f t="shared" si="88"/>
        <v>219</v>
      </c>
      <c r="H87">
        <f t="shared" si="88"/>
        <v>175</v>
      </c>
      <c r="I87">
        <f t="shared" si="88"/>
        <v>131</v>
      </c>
      <c r="J87">
        <f t="shared" si="88"/>
        <v>88</v>
      </c>
      <c r="K87">
        <f t="shared" si="88"/>
        <v>44</v>
      </c>
      <c r="L87">
        <f t="shared" si="88"/>
        <v>22</v>
      </c>
      <c r="M87" t="str">
        <f t="shared" si="74"/>
        <v>Hoja</v>
      </c>
    </row>
    <row r="88" spans="1:13" x14ac:dyDescent="0.25">
      <c r="A88" t="str">
        <f t="shared" ref="A88:C88" si="89">A11</f>
        <v>Centella</v>
      </c>
      <c r="B88">
        <f t="shared" si="89"/>
        <v>344</v>
      </c>
      <c r="C88" s="2">
        <f t="shared" si="89"/>
        <v>14</v>
      </c>
      <c r="D88">
        <f t="shared" ref="D88:L88" si="90">ROUND(D64,0)</f>
        <v>344</v>
      </c>
      <c r="E88">
        <f t="shared" si="90"/>
        <v>301</v>
      </c>
      <c r="F88">
        <f t="shared" si="90"/>
        <v>258</v>
      </c>
      <c r="G88">
        <f t="shared" si="90"/>
        <v>215</v>
      </c>
      <c r="H88">
        <f t="shared" si="90"/>
        <v>172</v>
      </c>
      <c r="I88">
        <f t="shared" si="90"/>
        <v>129</v>
      </c>
      <c r="J88">
        <f t="shared" si="90"/>
        <v>86</v>
      </c>
      <c r="K88">
        <f t="shared" si="90"/>
        <v>43</v>
      </c>
      <c r="L88">
        <f t="shared" si="90"/>
        <v>22</v>
      </c>
      <c r="M88" t="str">
        <f t="shared" si="74"/>
        <v>Centella</v>
      </c>
    </row>
    <row r="89" spans="1:13" x14ac:dyDescent="0.25">
      <c r="A89" t="str">
        <f t="shared" ref="A89:C89" si="91">A12</f>
        <v>CoD10</v>
      </c>
      <c r="B89">
        <f t="shared" si="91"/>
        <v>892</v>
      </c>
      <c r="C89" s="2">
        <f t="shared" si="91"/>
        <v>41</v>
      </c>
      <c r="D89">
        <f t="shared" ref="D89:L89" si="92">ROUND(D65,0)</f>
        <v>892</v>
      </c>
      <c r="E89">
        <f t="shared" si="92"/>
        <v>781</v>
      </c>
      <c r="F89">
        <f t="shared" si="92"/>
        <v>669</v>
      </c>
      <c r="G89">
        <f t="shared" si="92"/>
        <v>558</v>
      </c>
      <c r="H89">
        <f t="shared" si="92"/>
        <v>446</v>
      </c>
      <c r="I89">
        <f t="shared" si="92"/>
        <v>335</v>
      </c>
      <c r="J89">
        <f t="shared" si="92"/>
        <v>223</v>
      </c>
      <c r="K89">
        <f t="shared" si="92"/>
        <v>112</v>
      </c>
      <c r="L89">
        <f t="shared" si="92"/>
        <v>56</v>
      </c>
      <c r="M89" t="str">
        <f t="shared" si="74"/>
        <v>CoD10</v>
      </c>
    </row>
    <row r="90" spans="1:13" x14ac:dyDescent="0.25">
      <c r="A90" t="str">
        <f t="shared" ref="A90:C90" si="93">A13</f>
        <v>Huevo</v>
      </c>
      <c r="B90">
        <f t="shared" si="93"/>
        <v>602</v>
      </c>
      <c r="C90" s="2">
        <f t="shared" si="93"/>
        <v>21</v>
      </c>
      <c r="D90">
        <f t="shared" ref="D90:L90" si="94">ROUND(D66,0)</f>
        <v>602</v>
      </c>
      <c r="E90">
        <f t="shared" si="94"/>
        <v>527</v>
      </c>
      <c r="F90">
        <f t="shared" si="94"/>
        <v>452</v>
      </c>
      <c r="G90">
        <f t="shared" si="94"/>
        <v>376</v>
      </c>
      <c r="H90">
        <f t="shared" si="94"/>
        <v>301</v>
      </c>
      <c r="I90">
        <f t="shared" si="94"/>
        <v>226</v>
      </c>
      <c r="J90">
        <f t="shared" si="94"/>
        <v>151</v>
      </c>
      <c r="K90">
        <f t="shared" si="94"/>
        <v>75</v>
      </c>
      <c r="L90">
        <f t="shared" si="94"/>
        <v>38</v>
      </c>
      <c r="M90" t="str">
        <f t="shared" si="74"/>
        <v>Huevo</v>
      </c>
    </row>
    <row r="91" spans="1:13" x14ac:dyDescent="0.25">
      <c r="A91" t="str">
        <f t="shared" ref="A91:C91" si="95">A14</f>
        <v>CoD11</v>
      </c>
      <c r="B91">
        <f t="shared" si="95"/>
        <v>430</v>
      </c>
      <c r="C91" s="2">
        <f t="shared" si="95"/>
        <v>21</v>
      </c>
      <c r="D91">
        <f t="shared" ref="D91:L91" si="96">ROUND(D67,0)</f>
        <v>430</v>
      </c>
      <c r="E91">
        <f t="shared" si="96"/>
        <v>376</v>
      </c>
      <c r="F91">
        <f t="shared" si="96"/>
        <v>323</v>
      </c>
      <c r="G91">
        <f t="shared" si="96"/>
        <v>269</v>
      </c>
      <c r="H91">
        <f t="shared" si="96"/>
        <v>215</v>
      </c>
      <c r="I91">
        <f t="shared" si="96"/>
        <v>161</v>
      </c>
      <c r="J91">
        <f t="shared" si="96"/>
        <v>108</v>
      </c>
      <c r="K91">
        <f t="shared" si="96"/>
        <v>54</v>
      </c>
      <c r="L91">
        <f t="shared" si="96"/>
        <v>27</v>
      </c>
      <c r="M91" t="str">
        <f t="shared" si="74"/>
        <v>CoD11</v>
      </c>
    </row>
    <row r="92" spans="1:13" x14ac:dyDescent="0.25">
      <c r="A92" t="str">
        <f t="shared" ref="A92:C92" si="97">A15</f>
        <v>Crossing</v>
      </c>
      <c r="B92">
        <f t="shared" si="97"/>
        <v>414</v>
      </c>
      <c r="C92" s="2">
        <f t="shared" si="97"/>
        <v>20</v>
      </c>
      <c r="D92">
        <f t="shared" ref="D92:L92" si="98">ROUND(D68,0)</f>
        <v>414</v>
      </c>
      <c r="E92">
        <f t="shared" si="98"/>
        <v>362</v>
      </c>
      <c r="F92">
        <f t="shared" si="98"/>
        <v>311</v>
      </c>
      <c r="G92">
        <f t="shared" si="98"/>
        <v>259</v>
      </c>
      <c r="H92">
        <f t="shared" si="98"/>
        <v>207</v>
      </c>
      <c r="I92">
        <f t="shared" si="98"/>
        <v>155</v>
      </c>
      <c r="J92">
        <f t="shared" si="98"/>
        <v>104</v>
      </c>
      <c r="K92">
        <f t="shared" si="98"/>
        <v>52</v>
      </c>
      <c r="L92">
        <f t="shared" si="98"/>
        <v>26</v>
      </c>
      <c r="M92" t="str">
        <f t="shared" si="74"/>
        <v>Crossing</v>
      </c>
    </row>
    <row r="93" spans="1:13" x14ac:dyDescent="0.25">
      <c r="A93" t="str">
        <f t="shared" ref="A93:C93" si="99">A16</f>
        <v>CoD12</v>
      </c>
      <c r="B93">
        <f t="shared" si="99"/>
        <v>466</v>
      </c>
      <c r="C93" s="2">
        <f t="shared" si="99"/>
        <v>17</v>
      </c>
      <c r="D93">
        <f t="shared" ref="D93:L93" si="100">ROUND(D69,0)</f>
        <v>466</v>
      </c>
      <c r="E93">
        <f t="shared" si="100"/>
        <v>408</v>
      </c>
      <c r="F93">
        <f t="shared" si="100"/>
        <v>350</v>
      </c>
      <c r="G93">
        <f t="shared" si="100"/>
        <v>291</v>
      </c>
      <c r="H93">
        <f t="shared" si="100"/>
        <v>233</v>
      </c>
      <c r="I93">
        <f t="shared" si="100"/>
        <v>175</v>
      </c>
      <c r="J93">
        <f t="shared" si="100"/>
        <v>117</v>
      </c>
      <c r="K93">
        <f t="shared" si="100"/>
        <v>58</v>
      </c>
      <c r="L93">
        <f t="shared" si="100"/>
        <v>29</v>
      </c>
      <c r="M93" t="str">
        <f t="shared" si="74"/>
        <v>CoD12</v>
      </c>
    </row>
    <row r="94" spans="1:13" x14ac:dyDescent="0.25">
      <c r="A94" t="str">
        <f t="shared" ref="A94:C94" si="101">A17</f>
        <v>Trifuerza</v>
      </c>
      <c r="B94">
        <f t="shared" si="101"/>
        <v>272</v>
      </c>
      <c r="C94" s="2">
        <f t="shared" si="101"/>
        <v>12</v>
      </c>
      <c r="D94">
        <f t="shared" ref="D94:L94" si="102">ROUND(D70,0)</f>
        <v>272</v>
      </c>
      <c r="E94">
        <f t="shared" si="102"/>
        <v>238</v>
      </c>
      <c r="F94">
        <f t="shared" si="102"/>
        <v>204</v>
      </c>
      <c r="G94">
        <f t="shared" si="102"/>
        <v>170</v>
      </c>
      <c r="H94">
        <f t="shared" si="102"/>
        <v>136</v>
      </c>
      <c r="I94">
        <f t="shared" si="102"/>
        <v>102</v>
      </c>
      <c r="J94">
        <f t="shared" si="102"/>
        <v>68</v>
      </c>
      <c r="K94">
        <f t="shared" si="102"/>
        <v>34</v>
      </c>
      <c r="L94">
        <f t="shared" si="102"/>
        <v>17</v>
      </c>
      <c r="M94" t="str">
        <f t="shared" si="74"/>
        <v>Trifuerza</v>
      </c>
    </row>
    <row r="95" spans="1:13" x14ac:dyDescent="0.25">
      <c r="A95" t="str">
        <f t="shared" ref="A95:C95" si="103">A18</f>
        <v>CoD13</v>
      </c>
      <c r="B95">
        <f t="shared" si="103"/>
        <v>378</v>
      </c>
      <c r="C95" s="2">
        <f t="shared" si="103"/>
        <v>17</v>
      </c>
      <c r="D95">
        <f t="shared" ref="D95:L95" si="104">ROUND(D71,0)</f>
        <v>378</v>
      </c>
      <c r="E95">
        <f t="shared" si="104"/>
        <v>331</v>
      </c>
      <c r="F95">
        <f t="shared" si="104"/>
        <v>284</v>
      </c>
      <c r="G95">
        <f t="shared" si="104"/>
        <v>236</v>
      </c>
      <c r="H95">
        <f t="shared" si="104"/>
        <v>189</v>
      </c>
      <c r="I95">
        <f t="shared" si="104"/>
        <v>142</v>
      </c>
      <c r="J95">
        <f t="shared" si="104"/>
        <v>95</v>
      </c>
      <c r="K95">
        <f t="shared" si="104"/>
        <v>47</v>
      </c>
      <c r="L95">
        <f t="shared" si="104"/>
        <v>24</v>
      </c>
      <c r="M95" t="str">
        <f t="shared" si="74"/>
        <v>CoD13</v>
      </c>
    </row>
    <row r="96" spans="1:13" x14ac:dyDescent="0.25">
      <c r="A96" t="str">
        <f t="shared" ref="A96:C96" si="105">A19</f>
        <v>Campana</v>
      </c>
      <c r="B96">
        <f t="shared" si="105"/>
        <v>210</v>
      </c>
      <c r="C96" s="2">
        <f t="shared" si="105"/>
        <v>10</v>
      </c>
      <c r="D96">
        <f t="shared" ref="D96:L96" si="106">ROUND(D72,0)</f>
        <v>210</v>
      </c>
      <c r="E96">
        <f t="shared" si="106"/>
        <v>184</v>
      </c>
      <c r="F96">
        <f t="shared" si="106"/>
        <v>158</v>
      </c>
      <c r="G96">
        <f t="shared" si="106"/>
        <v>131</v>
      </c>
      <c r="H96">
        <f t="shared" si="106"/>
        <v>105</v>
      </c>
      <c r="I96">
        <f t="shared" si="106"/>
        <v>79</v>
      </c>
      <c r="J96">
        <f t="shared" si="106"/>
        <v>53</v>
      </c>
      <c r="K96">
        <f t="shared" si="106"/>
        <v>26</v>
      </c>
      <c r="L96">
        <f t="shared" si="106"/>
        <v>13</v>
      </c>
      <c r="M96" t="str">
        <f t="shared" si="74"/>
        <v>Campana</v>
      </c>
    </row>
    <row r="97" spans="1:13" x14ac:dyDescent="0.25">
      <c r="A97" t="str">
        <f t="shared" ref="A97:C97" si="107">A20</f>
        <v>PoD:TLS</v>
      </c>
      <c r="B97">
        <f t="shared" si="107"/>
        <v>822</v>
      </c>
      <c r="C97" s="2">
        <f t="shared" si="107"/>
        <v>31</v>
      </c>
      <c r="D97">
        <f t="shared" ref="D97:L97" si="108">ROUND(D73,0)</f>
        <v>822</v>
      </c>
      <c r="E97">
        <f t="shared" si="108"/>
        <v>719</v>
      </c>
      <c r="F97">
        <f t="shared" si="108"/>
        <v>617</v>
      </c>
      <c r="G97">
        <f t="shared" si="108"/>
        <v>514</v>
      </c>
      <c r="H97">
        <f t="shared" si="108"/>
        <v>411</v>
      </c>
      <c r="I97">
        <f t="shared" si="108"/>
        <v>308</v>
      </c>
      <c r="J97">
        <f t="shared" si="108"/>
        <v>206</v>
      </c>
      <c r="K97">
        <f t="shared" si="108"/>
        <v>103</v>
      </c>
      <c r="L97">
        <f t="shared" si="108"/>
        <v>51</v>
      </c>
      <c r="M97" t="str">
        <f t="shared" si="74"/>
        <v>PoD:TLS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AB2F-82CD-4DEB-AE52-ED885DE8E0EB}">
  <dimension ref="A1:AD73"/>
  <sheetViews>
    <sheetView topLeftCell="A40" workbookViewId="0">
      <selection activeCell="R67" sqref="R67"/>
    </sheetView>
  </sheetViews>
  <sheetFormatPr defaultColWidth="11.42578125" defaultRowHeight="15" x14ac:dyDescent="0.25"/>
  <cols>
    <col min="1" max="1" width="11.85546875" bestFit="1" customWidth="1"/>
  </cols>
  <sheetData>
    <row r="1" spans="1:30" x14ac:dyDescent="0.25">
      <c r="A1" s="2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8</v>
      </c>
      <c r="I1" t="s">
        <v>52</v>
      </c>
      <c r="J1" t="s">
        <v>9</v>
      </c>
      <c r="K1" t="s">
        <v>5</v>
      </c>
      <c r="L1" t="s">
        <v>11</v>
      </c>
      <c r="M1" t="s">
        <v>10</v>
      </c>
      <c r="N1" t="s">
        <v>103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13</v>
      </c>
      <c r="V1" t="s">
        <v>12</v>
      </c>
      <c r="W1" t="s">
        <v>59</v>
      </c>
    </row>
    <row r="2" spans="1:30" x14ac:dyDescent="0.25">
      <c r="A2" s="2" t="str">
        <f>TorneosScore!A2</f>
        <v>AoT</v>
      </c>
      <c r="B2" s="1">
        <v>17</v>
      </c>
      <c r="C2" s="1">
        <v>33</v>
      </c>
      <c r="D2" s="1">
        <v>17</v>
      </c>
      <c r="E2" s="1">
        <v>17</v>
      </c>
      <c r="F2" s="1">
        <v>25</v>
      </c>
      <c r="G2" s="1">
        <v>33</v>
      </c>
      <c r="H2" s="1">
        <v>33</v>
      </c>
      <c r="I2" s="1">
        <v>33</v>
      </c>
      <c r="J2" s="1"/>
      <c r="K2" s="1"/>
      <c r="L2" s="1">
        <v>33</v>
      </c>
      <c r="M2" s="1"/>
      <c r="N2" s="1"/>
      <c r="O2" s="1"/>
      <c r="P2" s="1"/>
      <c r="Q2" s="1">
        <v>49</v>
      </c>
      <c r="R2" s="1"/>
      <c r="S2" s="1"/>
      <c r="T2" s="1"/>
      <c r="U2" s="1">
        <v>33</v>
      </c>
      <c r="V2" s="1">
        <v>33</v>
      </c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2" t="str">
        <f>TorneosScore!A3</f>
        <v>CoD5</v>
      </c>
      <c r="B3" s="1"/>
      <c r="C3" s="1">
        <v>2</v>
      </c>
      <c r="D3" s="1">
        <v>3</v>
      </c>
      <c r="E3" s="1">
        <v>4</v>
      </c>
      <c r="F3" s="1"/>
      <c r="G3" s="1">
        <v>5</v>
      </c>
      <c r="H3" s="1">
        <v>7</v>
      </c>
      <c r="I3" s="1">
        <v>9</v>
      </c>
      <c r="J3" s="1">
        <v>5</v>
      </c>
      <c r="K3" s="1"/>
      <c r="L3" s="1"/>
      <c r="M3" s="1">
        <v>9</v>
      </c>
      <c r="N3" s="1"/>
      <c r="O3" s="1">
        <v>9</v>
      </c>
      <c r="P3" s="1">
        <v>13</v>
      </c>
      <c r="Q3" s="1">
        <v>13</v>
      </c>
      <c r="R3" s="1"/>
      <c r="S3" s="1"/>
      <c r="T3" s="1"/>
      <c r="U3" s="1">
        <v>17</v>
      </c>
      <c r="V3" s="1"/>
      <c r="W3" s="1">
        <v>13</v>
      </c>
      <c r="X3" s="1"/>
      <c r="Y3" s="1"/>
      <c r="Z3" s="1"/>
      <c r="AA3" s="1"/>
      <c r="AB3" s="1"/>
      <c r="AC3" s="1"/>
      <c r="AD3" s="1"/>
    </row>
    <row r="4" spans="1:30" x14ac:dyDescent="0.25">
      <c r="A4" s="2" t="str">
        <f>TorneosScore!A4</f>
        <v>Plátano</v>
      </c>
      <c r="B4" s="1"/>
      <c r="C4" s="1">
        <v>1</v>
      </c>
      <c r="D4" s="1"/>
      <c r="E4" s="1">
        <v>3</v>
      </c>
      <c r="F4" s="1">
        <v>2</v>
      </c>
      <c r="G4" s="1">
        <v>7</v>
      </c>
      <c r="H4" s="1">
        <v>5</v>
      </c>
      <c r="I4" s="1">
        <v>13</v>
      </c>
      <c r="J4" s="1"/>
      <c r="K4" s="1"/>
      <c r="L4" s="1">
        <v>9</v>
      </c>
      <c r="M4" s="1"/>
      <c r="N4" s="1">
        <v>9</v>
      </c>
      <c r="O4" s="1"/>
      <c r="P4" s="1"/>
      <c r="Q4" s="1">
        <v>17</v>
      </c>
      <c r="R4" s="1">
        <v>13</v>
      </c>
      <c r="S4" s="1">
        <v>9</v>
      </c>
      <c r="T4" s="1"/>
      <c r="U4" s="1">
        <v>13</v>
      </c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2" t="str">
        <f>TorneosScore!A5</f>
        <v>CoD6</v>
      </c>
      <c r="B5" s="1">
        <v>2</v>
      </c>
      <c r="C5" s="1">
        <v>4</v>
      </c>
      <c r="D5" s="1">
        <v>9</v>
      </c>
      <c r="E5" s="1">
        <v>7</v>
      </c>
      <c r="F5" s="1"/>
      <c r="G5" s="1">
        <v>13</v>
      </c>
      <c r="H5" s="1">
        <v>13</v>
      </c>
      <c r="I5" s="1">
        <v>13</v>
      </c>
      <c r="J5" s="1">
        <v>17</v>
      </c>
      <c r="K5" s="1">
        <v>17</v>
      </c>
      <c r="L5" s="1">
        <v>17</v>
      </c>
      <c r="M5" s="1">
        <v>17</v>
      </c>
      <c r="N5" s="1"/>
      <c r="O5" s="1">
        <v>17</v>
      </c>
      <c r="P5" s="1">
        <v>13</v>
      </c>
      <c r="Q5" s="1"/>
      <c r="R5" s="1"/>
      <c r="S5" s="1"/>
      <c r="T5" s="1">
        <v>17</v>
      </c>
      <c r="U5" s="1">
        <v>25</v>
      </c>
      <c r="V5" s="1">
        <v>17</v>
      </c>
      <c r="W5" s="1">
        <v>17</v>
      </c>
      <c r="X5" s="1"/>
      <c r="Y5" s="1"/>
      <c r="Z5" s="1"/>
      <c r="AA5" s="1"/>
      <c r="AB5" s="1"/>
      <c r="AC5" s="1"/>
      <c r="AD5" s="1"/>
    </row>
    <row r="6" spans="1:30" x14ac:dyDescent="0.25">
      <c r="A6" s="2" t="str">
        <f>TorneosScore!A6</f>
        <v>CoD7</v>
      </c>
      <c r="B6" s="1">
        <v>5</v>
      </c>
      <c r="C6" s="1">
        <v>7</v>
      </c>
      <c r="D6" s="1">
        <v>9</v>
      </c>
      <c r="E6" s="1">
        <v>13</v>
      </c>
      <c r="F6" s="1">
        <v>9</v>
      </c>
      <c r="G6" s="1">
        <v>17</v>
      </c>
      <c r="H6" s="1">
        <v>25</v>
      </c>
      <c r="I6" s="1">
        <v>17</v>
      </c>
      <c r="J6" s="1"/>
      <c r="K6" s="1"/>
      <c r="L6" s="1">
        <v>17</v>
      </c>
      <c r="M6" s="1">
        <v>17</v>
      </c>
      <c r="N6" s="1"/>
      <c r="O6" s="1">
        <v>25</v>
      </c>
      <c r="P6" s="1">
        <v>17</v>
      </c>
      <c r="Q6" s="1">
        <v>17</v>
      </c>
      <c r="R6" s="1">
        <v>17</v>
      </c>
      <c r="S6" s="1">
        <v>25</v>
      </c>
      <c r="T6" s="1">
        <v>25</v>
      </c>
      <c r="U6" s="1">
        <v>33</v>
      </c>
      <c r="V6" s="1">
        <v>25</v>
      </c>
      <c r="W6" s="1">
        <v>25</v>
      </c>
      <c r="X6" s="1"/>
      <c r="Y6" s="1"/>
      <c r="Z6" s="1"/>
      <c r="AA6" s="1"/>
      <c r="AB6" s="1"/>
      <c r="AC6" s="1"/>
      <c r="AD6" s="1"/>
    </row>
    <row r="7" spans="1:30" x14ac:dyDescent="0.25">
      <c r="A7" s="2" t="str">
        <f>TorneosScore!A7</f>
        <v>Caparazón</v>
      </c>
      <c r="B7" s="1">
        <v>4</v>
      </c>
      <c r="C7" s="1">
        <v>2</v>
      </c>
      <c r="D7" s="1">
        <v>5</v>
      </c>
      <c r="E7" s="1">
        <v>7</v>
      </c>
      <c r="F7" s="1">
        <v>9</v>
      </c>
      <c r="G7" s="1">
        <v>9</v>
      </c>
      <c r="H7" s="1">
        <v>13</v>
      </c>
      <c r="I7" s="1">
        <v>13</v>
      </c>
      <c r="J7" s="1">
        <v>13</v>
      </c>
      <c r="K7" s="1"/>
      <c r="L7" s="1">
        <v>17</v>
      </c>
      <c r="M7" s="1"/>
      <c r="N7" s="1">
        <v>17</v>
      </c>
      <c r="O7" s="1">
        <v>25</v>
      </c>
      <c r="P7" s="1">
        <v>17</v>
      </c>
      <c r="Q7" s="1"/>
      <c r="R7" s="1">
        <v>17</v>
      </c>
      <c r="S7" s="1"/>
      <c r="T7" s="1"/>
      <c r="U7" s="1">
        <v>17</v>
      </c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2" t="str">
        <f>TorneosScore!A8</f>
        <v>CoD8</v>
      </c>
      <c r="B8" s="1"/>
      <c r="C8" s="1">
        <v>13</v>
      </c>
      <c r="D8" s="1">
        <v>4</v>
      </c>
      <c r="E8" s="1">
        <v>9</v>
      </c>
      <c r="F8" s="1"/>
      <c r="G8" s="1">
        <v>17</v>
      </c>
      <c r="H8" s="1">
        <v>17</v>
      </c>
      <c r="I8" s="1">
        <v>13</v>
      </c>
      <c r="J8" s="1">
        <v>17</v>
      </c>
      <c r="K8" s="1">
        <v>13</v>
      </c>
      <c r="L8" s="1">
        <v>17</v>
      </c>
      <c r="M8" s="1">
        <v>17</v>
      </c>
      <c r="N8" s="1"/>
      <c r="O8" s="1">
        <v>25</v>
      </c>
      <c r="P8" s="1">
        <v>17</v>
      </c>
      <c r="Q8" s="1">
        <v>25</v>
      </c>
      <c r="R8" s="1">
        <v>25</v>
      </c>
      <c r="S8" s="1"/>
      <c r="T8" s="1"/>
      <c r="U8" s="1">
        <v>17</v>
      </c>
      <c r="V8" s="1"/>
      <c r="W8" s="1">
        <v>25</v>
      </c>
      <c r="X8" s="1"/>
      <c r="Y8" s="1"/>
      <c r="Z8" s="1"/>
      <c r="AA8" s="1"/>
      <c r="AB8" s="1"/>
      <c r="AC8" s="1"/>
      <c r="AD8" s="1"/>
    </row>
    <row r="9" spans="1:30" x14ac:dyDescent="0.25">
      <c r="A9" s="2" t="str">
        <f>TorneosScore!A9</f>
        <v>CoD9</v>
      </c>
      <c r="B9" s="10">
        <v>2</v>
      </c>
      <c r="C9" s="3"/>
      <c r="D9" s="3">
        <v>5</v>
      </c>
      <c r="E9" s="3">
        <v>7</v>
      </c>
      <c r="F9" s="3"/>
      <c r="G9" s="3">
        <v>9</v>
      </c>
      <c r="H9" s="3">
        <v>9</v>
      </c>
      <c r="I9" s="3">
        <v>13</v>
      </c>
      <c r="J9" s="3">
        <v>13</v>
      </c>
      <c r="K9" s="3">
        <v>9</v>
      </c>
      <c r="L9" s="3"/>
      <c r="M9" s="3"/>
      <c r="N9" s="3"/>
      <c r="O9" s="3">
        <v>13</v>
      </c>
      <c r="P9" s="3">
        <v>17</v>
      </c>
      <c r="Q9" s="3">
        <v>17</v>
      </c>
      <c r="R9" s="3">
        <v>17</v>
      </c>
      <c r="S9" s="3"/>
      <c r="T9" s="3"/>
      <c r="U9" s="3">
        <v>17</v>
      </c>
      <c r="V9" s="3"/>
      <c r="W9" s="3"/>
      <c r="X9" s="1"/>
      <c r="Y9" s="1"/>
      <c r="Z9" s="1"/>
      <c r="AA9" s="1"/>
      <c r="AB9" s="1"/>
      <c r="AC9" s="1"/>
      <c r="AD9" s="1"/>
    </row>
    <row r="10" spans="1:30" x14ac:dyDescent="0.25">
      <c r="A10" s="2" t="str">
        <f>TorneosScore!A10</f>
        <v>Hoja</v>
      </c>
      <c r="B10" s="1"/>
      <c r="C10" s="1"/>
      <c r="D10" s="1">
        <v>1</v>
      </c>
      <c r="E10" s="1">
        <v>2</v>
      </c>
      <c r="F10" s="1"/>
      <c r="G10" s="1"/>
      <c r="H10" s="1">
        <v>5</v>
      </c>
      <c r="I10" s="1">
        <v>7</v>
      </c>
      <c r="J10" s="1">
        <v>5</v>
      </c>
      <c r="K10" s="1"/>
      <c r="L10" s="1"/>
      <c r="M10" s="1"/>
      <c r="N10" s="1"/>
      <c r="O10" s="1">
        <v>9</v>
      </c>
      <c r="P10" s="1"/>
      <c r="Q10" s="1">
        <v>9</v>
      </c>
      <c r="R10" s="1"/>
      <c r="S10" s="1"/>
      <c r="T10" s="1"/>
      <c r="U10" s="1">
        <v>7</v>
      </c>
      <c r="V10" s="1"/>
      <c r="W10" s="1">
        <v>9</v>
      </c>
      <c r="X10" s="1"/>
      <c r="Y10" s="1"/>
      <c r="Z10" s="1"/>
      <c r="AA10" s="1"/>
      <c r="AB10" s="1"/>
      <c r="AC10" s="1"/>
      <c r="AD10" s="1"/>
    </row>
    <row r="11" spans="1:30" x14ac:dyDescent="0.25">
      <c r="A11" s="2" t="str">
        <f>TorneosScore!A11</f>
        <v>Centella</v>
      </c>
      <c r="B11" s="1">
        <v>1</v>
      </c>
      <c r="C11" s="1"/>
      <c r="D11" s="1">
        <v>2</v>
      </c>
      <c r="E11" s="1">
        <v>3</v>
      </c>
      <c r="F11" s="1"/>
      <c r="G11" s="1"/>
      <c r="H11" s="1">
        <v>5</v>
      </c>
      <c r="I11" s="1">
        <v>5</v>
      </c>
      <c r="J11" s="1"/>
      <c r="K11" s="1"/>
      <c r="L11" s="1">
        <v>4</v>
      </c>
      <c r="M11" s="1"/>
      <c r="N11" s="1"/>
      <c r="O11" s="1">
        <v>9</v>
      </c>
      <c r="P11" s="1"/>
      <c r="Q11" s="1">
        <v>7</v>
      </c>
      <c r="R11" s="1"/>
      <c r="S11" s="1">
        <v>7</v>
      </c>
      <c r="T11" s="1"/>
      <c r="U11" s="1">
        <v>9</v>
      </c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2" t="str">
        <f>TorneosScore!A12</f>
        <v>CoD10</v>
      </c>
      <c r="B12" s="1">
        <v>2</v>
      </c>
      <c r="C12" s="1"/>
      <c r="D12" s="1">
        <v>3</v>
      </c>
      <c r="E12" s="1">
        <v>5</v>
      </c>
      <c r="F12" s="1"/>
      <c r="G12" s="1">
        <v>17</v>
      </c>
      <c r="H12" s="1">
        <v>17</v>
      </c>
      <c r="I12" s="1">
        <v>13</v>
      </c>
      <c r="J12" s="1">
        <v>17</v>
      </c>
      <c r="K12" s="1">
        <v>17</v>
      </c>
      <c r="L12" s="1"/>
      <c r="M12" s="1">
        <v>13</v>
      </c>
      <c r="N12" s="1"/>
      <c r="O12" s="1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2" t="str">
        <f>TorneosScore!A13</f>
        <v>Huevo</v>
      </c>
      <c r="B13" s="1"/>
      <c r="C13" s="1"/>
      <c r="D13" s="1">
        <v>5</v>
      </c>
      <c r="E13" s="1">
        <v>7</v>
      </c>
      <c r="F13" s="1"/>
      <c r="G13" s="1">
        <v>9</v>
      </c>
      <c r="H13" s="1">
        <v>13</v>
      </c>
      <c r="I13" s="1">
        <v>9</v>
      </c>
      <c r="J13" s="1">
        <v>9</v>
      </c>
      <c r="K13" s="1"/>
      <c r="L13" s="1">
        <v>13</v>
      </c>
      <c r="M13" s="1">
        <v>13</v>
      </c>
      <c r="N13" s="1"/>
      <c r="O13" s="1">
        <v>17</v>
      </c>
      <c r="P13" s="1">
        <v>17</v>
      </c>
      <c r="Q13" s="1">
        <v>13</v>
      </c>
      <c r="R13" s="1"/>
      <c r="S13" s="1"/>
      <c r="T13" s="1"/>
      <c r="U13" s="1">
        <v>9</v>
      </c>
      <c r="V13" s="1"/>
      <c r="W13" s="1">
        <v>17</v>
      </c>
      <c r="X13" s="1"/>
      <c r="Y13" s="1"/>
      <c r="Z13" s="1"/>
      <c r="AA13" s="1"/>
      <c r="AB13" s="1"/>
      <c r="AC13" s="1"/>
      <c r="AD13" s="1"/>
    </row>
    <row r="14" spans="1:30" x14ac:dyDescent="0.25">
      <c r="A14" s="2" t="str">
        <f>TorneosScore!A14</f>
        <v>CoD11</v>
      </c>
      <c r="B14" s="1"/>
      <c r="C14" s="1"/>
      <c r="D14" s="1"/>
      <c r="E14" s="1"/>
      <c r="F14" s="1"/>
      <c r="G14" s="1">
        <v>5</v>
      </c>
      <c r="H14" s="1">
        <v>7</v>
      </c>
      <c r="I14" s="1">
        <v>9</v>
      </c>
      <c r="J14" s="1">
        <v>9</v>
      </c>
      <c r="K14" s="1">
        <v>3</v>
      </c>
      <c r="L14" s="1">
        <v>5</v>
      </c>
      <c r="M14" s="1"/>
      <c r="N14" s="1">
        <v>17</v>
      </c>
      <c r="O14" s="1">
        <v>9</v>
      </c>
      <c r="P14" s="1"/>
      <c r="Q14" s="1">
        <v>13</v>
      </c>
      <c r="R14" s="1">
        <v>9</v>
      </c>
      <c r="S14" s="1"/>
      <c r="T14" s="1"/>
      <c r="U14" s="1">
        <v>13</v>
      </c>
      <c r="V14" s="1"/>
      <c r="W14" s="1">
        <v>17</v>
      </c>
      <c r="X14" s="1"/>
      <c r="Y14" s="1"/>
      <c r="Z14" s="1"/>
      <c r="AA14" s="1"/>
      <c r="AB14" s="1"/>
      <c r="AC14" s="1"/>
      <c r="AD14" s="1"/>
    </row>
    <row r="15" spans="1:30" x14ac:dyDescent="0.25">
      <c r="A15" s="2" t="str">
        <f>TorneosScore!A15</f>
        <v>Crossing</v>
      </c>
      <c r="B15" s="1"/>
      <c r="C15" s="1"/>
      <c r="D15" s="1">
        <v>1</v>
      </c>
      <c r="E15" s="1"/>
      <c r="F15" s="1"/>
      <c r="G15" s="1"/>
      <c r="H15" s="1">
        <v>5</v>
      </c>
      <c r="I15" s="1">
        <v>7</v>
      </c>
      <c r="J15" s="1">
        <v>9</v>
      </c>
      <c r="K15" s="1"/>
      <c r="L15" s="1">
        <v>9</v>
      </c>
      <c r="M15" s="1"/>
      <c r="N15" s="1">
        <v>13</v>
      </c>
      <c r="O15" s="1">
        <v>9</v>
      </c>
      <c r="P15" s="1">
        <v>13</v>
      </c>
      <c r="Q15" s="1"/>
      <c r="R15" s="1"/>
      <c r="S15" s="1"/>
      <c r="T15" s="1"/>
      <c r="U15" s="1">
        <v>13</v>
      </c>
      <c r="V15" s="1"/>
      <c r="W15" s="1">
        <v>17</v>
      </c>
      <c r="X15" s="1"/>
      <c r="Y15" s="1"/>
      <c r="Z15" s="1"/>
      <c r="AA15" s="1"/>
      <c r="AB15" s="1"/>
      <c r="AC15" s="1"/>
      <c r="AD15" s="1"/>
    </row>
    <row r="16" spans="1:30" x14ac:dyDescent="0.25">
      <c r="A16" s="2" t="str">
        <f>TorneosScore!A16</f>
        <v>CoD12</v>
      </c>
      <c r="B16" s="1"/>
      <c r="C16" s="1"/>
      <c r="D16" s="1"/>
      <c r="E16" s="1"/>
      <c r="F16" s="1"/>
      <c r="G16" s="1">
        <v>4</v>
      </c>
      <c r="H16" s="1">
        <v>9</v>
      </c>
      <c r="I16" s="1">
        <v>5</v>
      </c>
      <c r="J16" s="1"/>
      <c r="K16" s="1">
        <v>3</v>
      </c>
      <c r="L16" s="1">
        <v>9</v>
      </c>
      <c r="M16" s="1"/>
      <c r="N16" s="1">
        <v>17</v>
      </c>
      <c r="O16" s="1">
        <v>9</v>
      </c>
      <c r="P16" s="1">
        <v>13</v>
      </c>
      <c r="Q16" s="1"/>
      <c r="R16" s="1"/>
      <c r="S16" s="1"/>
      <c r="T16" s="1"/>
      <c r="U16" s="1">
        <v>7</v>
      </c>
      <c r="V16" s="1"/>
      <c r="W16" s="1">
        <v>9</v>
      </c>
      <c r="X16" s="1"/>
      <c r="Y16" s="1"/>
      <c r="Z16" s="1"/>
      <c r="AA16" s="1"/>
      <c r="AB16" s="1"/>
      <c r="AC16" s="1"/>
      <c r="AD16" s="1"/>
    </row>
    <row r="17" spans="1:30" x14ac:dyDescent="0.25">
      <c r="A17" s="2" t="str">
        <f>TorneosScore!A17</f>
        <v>Trifuerza</v>
      </c>
      <c r="B17" s="1"/>
      <c r="C17" s="1"/>
      <c r="D17" s="1">
        <v>1</v>
      </c>
      <c r="E17" s="1"/>
      <c r="F17" s="1"/>
      <c r="G17" s="1">
        <v>5</v>
      </c>
      <c r="H17" s="1">
        <v>3</v>
      </c>
      <c r="I17" s="1"/>
      <c r="J17" s="1">
        <v>4</v>
      </c>
      <c r="K17" s="1"/>
      <c r="L17" s="1"/>
      <c r="M17" s="1"/>
      <c r="N17" s="1"/>
      <c r="O17" s="1"/>
      <c r="P17" s="1">
        <v>7</v>
      </c>
      <c r="Q17" s="1">
        <v>5</v>
      </c>
      <c r="R17" s="1">
        <v>9</v>
      </c>
      <c r="S17" s="1"/>
      <c r="T17" s="1"/>
      <c r="U17" s="1">
        <v>9</v>
      </c>
      <c r="V17" s="1"/>
      <c r="W17" s="1">
        <v>7</v>
      </c>
      <c r="X17" s="1"/>
      <c r="Y17" s="1"/>
      <c r="Z17" s="1"/>
      <c r="AA17" s="1"/>
      <c r="AB17" s="1"/>
      <c r="AC17" s="1"/>
      <c r="AD17" s="1"/>
    </row>
    <row r="18" spans="1:30" x14ac:dyDescent="0.25">
      <c r="A18" s="2" t="str">
        <f>TorneosScore!A18</f>
        <v>CoD13</v>
      </c>
      <c r="B18" s="1">
        <v>1</v>
      </c>
      <c r="C18" s="1">
        <v>3</v>
      </c>
      <c r="D18" s="1"/>
      <c r="E18" s="1"/>
      <c r="F18" s="1"/>
      <c r="G18" s="1"/>
      <c r="H18" s="1">
        <v>4</v>
      </c>
      <c r="I18" s="1"/>
      <c r="J18" s="1">
        <v>7</v>
      </c>
      <c r="K18" s="1">
        <v>5</v>
      </c>
      <c r="L18" s="1">
        <v>9</v>
      </c>
      <c r="M18" s="1"/>
      <c r="N18" s="1"/>
      <c r="O18" s="1">
        <v>7</v>
      </c>
      <c r="P18" s="1">
        <v>13</v>
      </c>
      <c r="Q18" s="1">
        <v>9</v>
      </c>
      <c r="R18" s="1">
        <v>9</v>
      </c>
      <c r="S18" s="1"/>
      <c r="T18" s="1"/>
      <c r="U18" s="1">
        <v>9</v>
      </c>
      <c r="V18" s="1"/>
      <c r="W18" s="1">
        <v>13</v>
      </c>
      <c r="X18" s="1"/>
      <c r="Y18" s="1"/>
      <c r="Z18" s="1"/>
      <c r="AA18" s="1"/>
      <c r="AB18" s="1"/>
      <c r="AC18" s="1"/>
      <c r="AD18" s="1"/>
    </row>
    <row r="19" spans="1:30" x14ac:dyDescent="0.25">
      <c r="A19" s="2" t="str">
        <f>TorneosScore!A19</f>
        <v>Campana</v>
      </c>
      <c r="B19" s="1"/>
      <c r="C19" s="1"/>
      <c r="D19" s="1"/>
      <c r="E19" s="1"/>
      <c r="F19" s="1"/>
      <c r="G19" s="1">
        <v>1</v>
      </c>
      <c r="H19" s="1">
        <v>3</v>
      </c>
      <c r="I19" s="1"/>
      <c r="J19" s="1">
        <v>5</v>
      </c>
      <c r="K19" s="1"/>
      <c r="L19" s="1">
        <v>2</v>
      </c>
      <c r="M19" s="1"/>
      <c r="N19" s="1"/>
      <c r="O19" s="1">
        <v>4</v>
      </c>
      <c r="P19" s="1">
        <v>7</v>
      </c>
      <c r="Q19" s="1">
        <v>7</v>
      </c>
      <c r="R19" s="1"/>
      <c r="S19" s="1"/>
      <c r="T19" s="1"/>
      <c r="U19" s="1">
        <v>5</v>
      </c>
      <c r="V19" s="1"/>
      <c r="W19" s="1">
        <v>9</v>
      </c>
      <c r="X19" s="1"/>
      <c r="Y19" s="1"/>
      <c r="Z19" s="1"/>
      <c r="AA19" s="1"/>
      <c r="AB19" s="1"/>
      <c r="AC19" s="1"/>
      <c r="AD19" s="1"/>
    </row>
    <row r="20" spans="1:30" x14ac:dyDescent="0.25">
      <c r="A20" s="2" t="str">
        <f>TorneosScore!A20</f>
        <v>PoD:TLS</v>
      </c>
      <c r="B20">
        <v>5</v>
      </c>
      <c r="D20">
        <v>4</v>
      </c>
      <c r="E20">
        <v>9</v>
      </c>
      <c r="G20" s="1">
        <v>13</v>
      </c>
      <c r="H20" s="1">
        <v>17</v>
      </c>
      <c r="I20">
        <v>17</v>
      </c>
      <c r="L20" s="1">
        <v>13</v>
      </c>
      <c r="O20" s="1">
        <v>17</v>
      </c>
      <c r="Q20" s="1">
        <v>17</v>
      </c>
      <c r="R20">
        <v>17</v>
      </c>
      <c r="U20" s="1">
        <v>9</v>
      </c>
    </row>
    <row r="21" spans="1:30" x14ac:dyDescent="0.25">
      <c r="O21" s="1"/>
    </row>
    <row r="22" spans="1:30" x14ac:dyDescent="0.25">
      <c r="X22" s="1"/>
    </row>
    <row r="23" spans="1:30" x14ac:dyDescent="0.25">
      <c r="X23" s="1"/>
    </row>
    <row r="24" spans="1:30" x14ac:dyDescent="0.25">
      <c r="X24" s="1"/>
    </row>
    <row r="25" spans="1:30" x14ac:dyDescent="0.25">
      <c r="A25" s="2" t="s">
        <v>26</v>
      </c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7</v>
      </c>
      <c r="H25" t="s">
        <v>8</v>
      </c>
      <c r="I25" t="s">
        <v>52</v>
      </c>
      <c r="J25" t="s">
        <v>9</v>
      </c>
      <c r="K25" t="s">
        <v>5</v>
      </c>
      <c r="L25" t="s">
        <v>11</v>
      </c>
      <c r="M25" t="s">
        <v>10</v>
      </c>
      <c r="N25" t="s">
        <v>103</v>
      </c>
      <c r="O25" t="s">
        <v>53</v>
      </c>
      <c r="P25" t="s">
        <v>54</v>
      </c>
      <c r="Q25" t="s">
        <v>55</v>
      </c>
      <c r="R25" t="s">
        <v>56</v>
      </c>
      <c r="S25" t="s">
        <v>57</v>
      </c>
      <c r="T25" t="s">
        <v>58</v>
      </c>
      <c r="U25" t="s">
        <v>13</v>
      </c>
      <c r="V25" t="s">
        <v>12</v>
      </c>
      <c r="W25" t="s">
        <v>59</v>
      </c>
      <c r="X25" s="1"/>
    </row>
    <row r="26" spans="1:30" x14ac:dyDescent="0.25">
      <c r="A26" s="2" t="str">
        <f>TorneosScore!A2</f>
        <v>AoT</v>
      </c>
      <c r="B26" s="1">
        <f>TorneosResults!L55</f>
        <v>92.625</v>
      </c>
      <c r="C26" s="1">
        <v>0</v>
      </c>
      <c r="D26" s="1">
        <f>TorneosResults!L55</f>
        <v>92.625</v>
      </c>
      <c r="E26" s="1">
        <f>TorneosResults!L55</f>
        <v>92.625</v>
      </c>
      <c r="F26" s="1">
        <v>0</v>
      </c>
      <c r="G26" s="1">
        <v>0</v>
      </c>
      <c r="H26" s="1">
        <v>0</v>
      </c>
      <c r="I26" s="1">
        <v>0</v>
      </c>
      <c r="J26" s="1"/>
      <c r="K26" s="1"/>
      <c r="L26" s="1">
        <v>0</v>
      </c>
      <c r="M26" s="1"/>
      <c r="N26" s="1"/>
      <c r="O26" s="1"/>
      <c r="P26" s="1"/>
      <c r="Q26" s="1">
        <v>0</v>
      </c>
      <c r="R26" s="1"/>
      <c r="S26" s="1"/>
      <c r="T26" s="1"/>
      <c r="U26" s="1">
        <v>0</v>
      </c>
      <c r="V26" s="1">
        <v>0</v>
      </c>
      <c r="W26" s="1"/>
      <c r="X26" s="1"/>
    </row>
    <row r="27" spans="1:30" x14ac:dyDescent="0.25">
      <c r="A27" s="2" t="str">
        <f>TorneosScore!A3</f>
        <v>CoD5</v>
      </c>
      <c r="B27" s="1"/>
      <c r="C27" s="1">
        <f>TorneosResults!E56</f>
        <v>374.5</v>
      </c>
      <c r="D27" s="1">
        <f>TorneosResults!F56</f>
        <v>321</v>
      </c>
      <c r="E27" s="1">
        <f>TorneosResults!G56</f>
        <v>267.5</v>
      </c>
      <c r="F27" s="1"/>
      <c r="G27" s="1">
        <f>TorneosResults!H56</f>
        <v>214</v>
      </c>
      <c r="H27" s="1">
        <f>TorneosResults!I56</f>
        <v>160.5</v>
      </c>
      <c r="I27" s="1">
        <f>TorneosResults!J56</f>
        <v>107</v>
      </c>
      <c r="J27" s="1">
        <f>TorneosResults!H56</f>
        <v>214</v>
      </c>
      <c r="K27" s="1"/>
      <c r="L27" s="1"/>
      <c r="M27" s="1">
        <f>TorneosResults!J56</f>
        <v>107</v>
      </c>
      <c r="N27" s="1"/>
      <c r="O27" s="1">
        <f>TorneosResults!J56</f>
        <v>107</v>
      </c>
      <c r="P27" s="1">
        <f>TorneosResults!K56</f>
        <v>53.5</v>
      </c>
      <c r="Q27" s="1">
        <f>TorneosResults!K56</f>
        <v>53.5</v>
      </c>
      <c r="R27" s="1"/>
      <c r="S27" s="1"/>
      <c r="T27" s="1"/>
      <c r="U27" s="1">
        <f>TorneosResults!L56</f>
        <v>26.75</v>
      </c>
      <c r="V27" s="1"/>
      <c r="W27" s="1">
        <f>TorneosResults!K56</f>
        <v>53.5</v>
      </c>
      <c r="X27" s="1"/>
    </row>
    <row r="28" spans="1:30" x14ac:dyDescent="0.25">
      <c r="A28" s="2" t="str">
        <f>TorneosScore!A4</f>
        <v>Plátano</v>
      </c>
      <c r="B28" s="1"/>
      <c r="C28" s="1">
        <f>TorneosResults!D57</f>
        <v>430</v>
      </c>
      <c r="D28" s="1"/>
      <c r="E28" s="1">
        <f>TorneosResults!F57</f>
        <v>322.5</v>
      </c>
      <c r="F28" s="1">
        <f>TorneosResults!E57</f>
        <v>376.25</v>
      </c>
      <c r="G28" s="1">
        <f>TorneosResults!I57</f>
        <v>161.25</v>
      </c>
      <c r="H28" s="1">
        <f>TorneosResults!H57</f>
        <v>215</v>
      </c>
      <c r="I28" s="1">
        <f>TorneosResults!K57</f>
        <v>53.75</v>
      </c>
      <c r="J28" s="1"/>
      <c r="K28" s="1"/>
      <c r="L28" s="1">
        <f>TorneosResults!J57</f>
        <v>107.5</v>
      </c>
      <c r="M28" s="1"/>
      <c r="N28" s="1">
        <f>TorneosResults!J57</f>
        <v>107.5</v>
      </c>
      <c r="O28" s="1"/>
      <c r="P28" s="1"/>
      <c r="Q28" s="1">
        <f>TorneosResults!L57</f>
        <v>26.875</v>
      </c>
      <c r="R28" s="1">
        <f>TorneosResults!K57</f>
        <v>53.75</v>
      </c>
      <c r="S28" s="1">
        <f>TorneosResults!J57</f>
        <v>107.5</v>
      </c>
      <c r="T28" s="1"/>
      <c r="U28" s="1">
        <f>TorneosResults!K57</f>
        <v>53.75</v>
      </c>
      <c r="V28" s="1"/>
      <c r="W28" s="1"/>
      <c r="X28" s="1"/>
    </row>
    <row r="29" spans="1:30" x14ac:dyDescent="0.25">
      <c r="A29" s="2" t="str">
        <f>TorneosScore!A5</f>
        <v>CoD6</v>
      </c>
      <c r="B29" s="1">
        <f>TorneosResults!E58</f>
        <v>565.25</v>
      </c>
      <c r="C29" s="1">
        <f>TorneosResults!G58</f>
        <v>403.75</v>
      </c>
      <c r="D29" s="1">
        <f>TorneosResults!J58</f>
        <v>161.5</v>
      </c>
      <c r="E29" s="1">
        <f>TorneosResults!I58</f>
        <v>242.25</v>
      </c>
      <c r="F29" s="1"/>
      <c r="G29" s="1">
        <f>TorneosResults!K58</f>
        <v>80.75</v>
      </c>
      <c r="H29" s="1">
        <f>TorneosResults!K58</f>
        <v>80.75</v>
      </c>
      <c r="I29" s="1">
        <f>TorneosResults!K58</f>
        <v>80.75</v>
      </c>
      <c r="J29" s="1">
        <f>TorneosResults!L58</f>
        <v>40.375</v>
      </c>
      <c r="K29" s="1">
        <f>TorneosResults!L58</f>
        <v>40.375</v>
      </c>
      <c r="L29" s="1">
        <f>TorneosResults!L58</f>
        <v>40.375</v>
      </c>
      <c r="M29" s="1">
        <f>TorneosResults!L58</f>
        <v>40.375</v>
      </c>
      <c r="N29" s="1"/>
      <c r="O29" s="1">
        <f>TorneosResults!L58</f>
        <v>40.375</v>
      </c>
      <c r="P29" s="1">
        <f>TorneosResults!K58</f>
        <v>80.75</v>
      </c>
      <c r="Q29" s="1"/>
      <c r="R29" s="1"/>
      <c r="S29" s="1"/>
      <c r="T29" s="1">
        <f>TorneosResults!L58</f>
        <v>40.375</v>
      </c>
      <c r="U29" s="1">
        <v>0</v>
      </c>
      <c r="V29" s="1">
        <f>TorneosResults!L58</f>
        <v>40.375</v>
      </c>
      <c r="W29" s="1">
        <f>TorneosResults!L58</f>
        <v>40.375</v>
      </c>
      <c r="X29" s="1"/>
    </row>
    <row r="30" spans="1:30" x14ac:dyDescent="0.25">
      <c r="A30" s="2" t="str">
        <f>TorneosScore!A6</f>
        <v>CoD7</v>
      </c>
      <c r="B30" s="1">
        <f>TorneosResults!H59</f>
        <v>410</v>
      </c>
      <c r="C30" s="1">
        <f>TorneosResults!I59</f>
        <v>307.5</v>
      </c>
      <c r="D30" s="1">
        <f>TorneosResults!J59</f>
        <v>205</v>
      </c>
      <c r="E30" s="1">
        <f>TorneosResults!K59</f>
        <v>102.5</v>
      </c>
      <c r="F30" s="1">
        <f>TorneosResults!J59</f>
        <v>205</v>
      </c>
      <c r="G30" s="1">
        <f>TorneosResults!L59</f>
        <v>51.25</v>
      </c>
      <c r="H30" s="1">
        <v>0</v>
      </c>
      <c r="I30" s="1">
        <f>TorneosResults!L59</f>
        <v>51.25</v>
      </c>
      <c r="J30" s="1"/>
      <c r="K30" s="1"/>
      <c r="L30" s="1">
        <f>TorneosResults!L59</f>
        <v>51.25</v>
      </c>
      <c r="M30" s="1">
        <f>TorneosResults!L59</f>
        <v>51.25</v>
      </c>
      <c r="N30" s="1"/>
      <c r="O30" s="1">
        <v>0</v>
      </c>
      <c r="P30" s="1">
        <f>TorneosResults!L59</f>
        <v>51.25</v>
      </c>
      <c r="Q30" s="1">
        <f>TorneosResults!L59</f>
        <v>51.25</v>
      </c>
      <c r="R30" s="1">
        <f>TorneosResults!L59</f>
        <v>51.25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/>
    </row>
    <row r="31" spans="1:30" x14ac:dyDescent="0.25">
      <c r="A31" s="2" t="str">
        <f>TorneosScore!A7</f>
        <v>Caparazón</v>
      </c>
      <c r="B31" s="1">
        <f>TorneosResults!G60</f>
        <v>433.75</v>
      </c>
      <c r="C31" s="1">
        <f>TorneosResults!E60</f>
        <v>607.25</v>
      </c>
      <c r="D31" s="1">
        <f>TorneosResults!H60</f>
        <v>347</v>
      </c>
      <c r="E31" s="1">
        <f>TorneosResults!I60</f>
        <v>260.25</v>
      </c>
      <c r="F31" s="1">
        <f>TorneosResults!J60</f>
        <v>173.5</v>
      </c>
      <c r="G31" s="1">
        <f>TorneosResults!J60</f>
        <v>173.5</v>
      </c>
      <c r="H31" s="1">
        <f>TorneosResults!K60</f>
        <v>86.75</v>
      </c>
      <c r="I31" s="1">
        <f>TorneosResults!K60</f>
        <v>86.75</v>
      </c>
      <c r="J31" s="1">
        <f>TorneosResults!K60</f>
        <v>86.75</v>
      </c>
      <c r="K31" s="1"/>
      <c r="L31" s="1">
        <f>TorneosResults!L60</f>
        <v>43.375</v>
      </c>
      <c r="M31" s="1"/>
      <c r="N31" s="1">
        <f>TorneosResults!L60</f>
        <v>43.375</v>
      </c>
      <c r="O31" s="1">
        <v>0</v>
      </c>
      <c r="P31" s="1">
        <f>TorneosResults!L60</f>
        <v>43.375</v>
      </c>
      <c r="Q31" s="1"/>
      <c r="R31" s="1">
        <f>TorneosResults!L60</f>
        <v>43.375</v>
      </c>
      <c r="S31" s="1"/>
      <c r="T31" s="1"/>
      <c r="U31" s="1">
        <f>TorneosResults!L60</f>
        <v>43.375</v>
      </c>
      <c r="V31" s="1"/>
      <c r="W31" s="1"/>
      <c r="X31" s="1"/>
    </row>
    <row r="32" spans="1:30" x14ac:dyDescent="0.25">
      <c r="A32" s="2" t="str">
        <f>TorneosScore!A8</f>
        <v>CoD8</v>
      </c>
      <c r="B32" s="1"/>
      <c r="C32" s="1">
        <f>TorneosResults!K61</f>
        <v>88.5</v>
      </c>
      <c r="D32" s="1">
        <f>TorneosResults!G61</f>
        <v>442.5</v>
      </c>
      <c r="E32" s="1">
        <f>TorneosResults!J61</f>
        <v>177</v>
      </c>
      <c r="F32" s="1"/>
      <c r="G32" s="1">
        <f>TorneosResults!L61</f>
        <v>44.25</v>
      </c>
      <c r="H32" s="1">
        <f>TorneosResults!L61</f>
        <v>44.25</v>
      </c>
      <c r="I32" s="1">
        <f>TorneosResults!K61</f>
        <v>88.5</v>
      </c>
      <c r="J32" s="1">
        <f>TorneosResults!L61</f>
        <v>44.25</v>
      </c>
      <c r="K32" s="1">
        <f>TorneosResults!K61</f>
        <v>88.5</v>
      </c>
      <c r="L32" s="1">
        <f>TorneosResults!L61</f>
        <v>44.25</v>
      </c>
      <c r="M32" s="1">
        <f>TorneosResults!L61</f>
        <v>44.25</v>
      </c>
      <c r="N32" s="1"/>
      <c r="O32" s="1">
        <v>0</v>
      </c>
      <c r="P32" s="1">
        <f>TorneosResults!L61</f>
        <v>44.25</v>
      </c>
      <c r="Q32" s="1">
        <v>0</v>
      </c>
      <c r="R32" s="1">
        <v>0</v>
      </c>
      <c r="S32" s="1"/>
      <c r="T32" s="1"/>
      <c r="U32" s="1">
        <f>TorneosResults!L61</f>
        <v>44.25</v>
      </c>
      <c r="V32" s="1"/>
      <c r="W32" s="1">
        <v>0</v>
      </c>
      <c r="X32" s="1"/>
    </row>
    <row r="33" spans="1:24" x14ac:dyDescent="0.25">
      <c r="A33" s="2" t="str">
        <f>TorneosScore!A9</f>
        <v>CoD9</v>
      </c>
      <c r="B33" s="10">
        <f>TorneosResults!E62</f>
        <v>535.5</v>
      </c>
      <c r="C33" s="3"/>
      <c r="D33" s="3">
        <f>TorneosResults!H62</f>
        <v>306</v>
      </c>
      <c r="E33" s="3">
        <f>TorneosResults!I62</f>
        <v>229.5</v>
      </c>
      <c r="F33" s="3"/>
      <c r="G33" s="3">
        <f>TorneosResults!J62</f>
        <v>153</v>
      </c>
      <c r="H33" s="3">
        <f>TorneosResults!J62</f>
        <v>153</v>
      </c>
      <c r="I33" s="3">
        <f>TorneosResults!K62</f>
        <v>76.5</v>
      </c>
      <c r="J33" s="3">
        <f>TorneosResults!K62</f>
        <v>76.5</v>
      </c>
      <c r="K33" s="3">
        <f>TorneosResults!J62</f>
        <v>153</v>
      </c>
      <c r="L33" s="3"/>
      <c r="M33" s="3"/>
      <c r="N33" s="3"/>
      <c r="O33" s="3">
        <f>TorneosResults!K62</f>
        <v>76.5</v>
      </c>
      <c r="P33" s="3">
        <f>TorneosResults!L62</f>
        <v>38.25</v>
      </c>
      <c r="Q33" s="3">
        <f>TorneosResults!L62</f>
        <v>38.25</v>
      </c>
      <c r="R33" s="3">
        <f>TorneosResults!L62</f>
        <v>38.25</v>
      </c>
      <c r="S33" s="3"/>
      <c r="T33" s="3"/>
      <c r="U33" s="3">
        <f>TorneosResults!L62</f>
        <v>38.25</v>
      </c>
      <c r="V33" s="3"/>
      <c r="W33" s="3"/>
      <c r="X33" s="1"/>
    </row>
    <row r="34" spans="1:24" x14ac:dyDescent="0.25">
      <c r="A34" s="2" t="str">
        <f>TorneosScore!A10</f>
        <v>Hoja</v>
      </c>
      <c r="B34" s="1"/>
      <c r="C34" s="1"/>
      <c r="D34" s="1">
        <f>TorneosResults!D63</f>
        <v>350</v>
      </c>
      <c r="E34" s="1">
        <f>TorneosResults!E63</f>
        <v>306.25</v>
      </c>
      <c r="F34" s="1"/>
      <c r="G34" s="1"/>
      <c r="H34" s="1">
        <f>TorneosResults!H63</f>
        <v>175</v>
      </c>
      <c r="I34" s="1">
        <f>TorneosResults!I63</f>
        <v>131.25</v>
      </c>
      <c r="J34" s="1">
        <f>TorneosResults!H63</f>
        <v>175</v>
      </c>
      <c r="K34" s="1"/>
      <c r="L34" s="1"/>
      <c r="M34" s="1"/>
      <c r="N34" s="1"/>
      <c r="O34" s="1">
        <f>TorneosResults!J63</f>
        <v>87.5</v>
      </c>
      <c r="P34" s="1"/>
      <c r="Q34" s="1">
        <f>TorneosResults!J63</f>
        <v>87.5</v>
      </c>
      <c r="R34" s="1"/>
      <c r="S34" s="1"/>
      <c r="T34" s="1"/>
      <c r="U34" s="1">
        <f>TorneosResults!I63</f>
        <v>131.25</v>
      </c>
      <c r="V34" s="1"/>
      <c r="W34" s="1">
        <f>TorneosResults!J63</f>
        <v>87.5</v>
      </c>
      <c r="X34" s="1"/>
    </row>
    <row r="35" spans="1:24" x14ac:dyDescent="0.25">
      <c r="A35" s="2" t="str">
        <f>TorneosScore!A11</f>
        <v>Centella</v>
      </c>
      <c r="B35" s="1">
        <f>TorneosResults!D64</f>
        <v>344</v>
      </c>
      <c r="C35" s="1"/>
      <c r="D35" s="1">
        <f>TorneosResults!E64</f>
        <v>301</v>
      </c>
      <c r="E35" s="1">
        <f>TorneosResults!F64</f>
        <v>258</v>
      </c>
      <c r="F35" s="1"/>
      <c r="G35" s="1"/>
      <c r="H35" s="1">
        <f>TorneosResults!H64</f>
        <v>172</v>
      </c>
      <c r="I35" s="1">
        <f>TorneosResults!H64</f>
        <v>172</v>
      </c>
      <c r="J35" s="1"/>
      <c r="K35" s="1"/>
      <c r="L35" s="1">
        <f>TorneosResults!G64</f>
        <v>215</v>
      </c>
      <c r="M35" s="1"/>
      <c r="N35" s="1"/>
      <c r="O35" s="1">
        <f>TorneosResults!J64</f>
        <v>86</v>
      </c>
      <c r="P35" s="1"/>
      <c r="Q35" s="1">
        <f>TorneosResults!I64</f>
        <v>129</v>
      </c>
      <c r="R35" s="1"/>
      <c r="S35" s="1">
        <f>TorneosResults!I64</f>
        <v>129</v>
      </c>
      <c r="T35" s="1"/>
      <c r="U35" s="1">
        <f>TorneosResults!J64</f>
        <v>86</v>
      </c>
      <c r="V35" s="1"/>
      <c r="W35" s="1"/>
      <c r="X35" s="1"/>
    </row>
    <row r="36" spans="1:24" x14ac:dyDescent="0.25">
      <c r="A36" s="2" t="str">
        <f>TorneosScore!A12</f>
        <v>CoD10</v>
      </c>
      <c r="B36" s="1">
        <f>TorneosResults!E65</f>
        <v>780.5</v>
      </c>
      <c r="C36" s="1"/>
      <c r="D36" s="1">
        <f>TorneosResults!F65</f>
        <v>669</v>
      </c>
      <c r="E36" s="1">
        <f>TorneosResults!H65</f>
        <v>446</v>
      </c>
      <c r="F36" s="1"/>
      <c r="G36" s="1">
        <f>TorneosResults!L65</f>
        <v>55.75</v>
      </c>
      <c r="H36" s="1">
        <f>TorneosResults!L65</f>
        <v>55.75</v>
      </c>
      <c r="I36" s="1">
        <f>TorneosResults!K65</f>
        <v>111.5</v>
      </c>
      <c r="J36" s="1">
        <f>TorneosResults!L65</f>
        <v>55.75</v>
      </c>
      <c r="K36" s="1">
        <f>TorneosResults!L65</f>
        <v>55.75</v>
      </c>
      <c r="L36" s="1"/>
      <c r="M36" s="1">
        <f>TorneosResults!K65</f>
        <v>111.5</v>
      </c>
      <c r="N36" s="1"/>
      <c r="O36" s="1">
        <f>TorneosResults!L65</f>
        <v>55.75</v>
      </c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A37" s="2" t="str">
        <f>TorneosScore!A13</f>
        <v>Huevo</v>
      </c>
      <c r="B37" s="1"/>
      <c r="C37" s="1"/>
      <c r="D37" s="1">
        <f>TorneosResults!H66</f>
        <v>301</v>
      </c>
      <c r="E37" s="1">
        <f>TorneosResults!I66</f>
        <v>225.75</v>
      </c>
      <c r="F37" s="1"/>
      <c r="G37" s="1">
        <f>TorneosResults!J66</f>
        <v>150.5</v>
      </c>
      <c r="H37" s="1">
        <f>TorneosResults!K66</f>
        <v>75.25</v>
      </c>
      <c r="I37" s="1">
        <f>TorneosResults!J66</f>
        <v>150.5</v>
      </c>
      <c r="J37" s="1">
        <f>TorneosResults!J66</f>
        <v>150.5</v>
      </c>
      <c r="K37" s="1"/>
      <c r="L37" s="1">
        <f>TorneosResults!K66</f>
        <v>75.25</v>
      </c>
      <c r="M37" s="1">
        <f>TorneosResults!K66</f>
        <v>75.25</v>
      </c>
      <c r="N37" s="1"/>
      <c r="O37" s="1">
        <f>TorneosResults!L66</f>
        <v>37.625</v>
      </c>
      <c r="P37" s="1">
        <f>TorneosResults!L66</f>
        <v>37.625</v>
      </c>
      <c r="Q37" s="1">
        <f>TorneosResults!K66</f>
        <v>75.25</v>
      </c>
      <c r="R37" s="1"/>
      <c r="S37" s="1"/>
      <c r="T37" s="1"/>
      <c r="U37" s="1">
        <f>TorneosResults!J66</f>
        <v>150.5</v>
      </c>
      <c r="V37" s="1"/>
      <c r="W37" s="1">
        <f>TorneosResults!L66</f>
        <v>37.625</v>
      </c>
      <c r="X37" s="1"/>
    </row>
    <row r="38" spans="1:24" x14ac:dyDescent="0.25">
      <c r="A38" s="2" t="str">
        <f>TorneosScore!A14</f>
        <v>CoD11</v>
      </c>
      <c r="B38" s="1"/>
      <c r="C38" s="1"/>
      <c r="D38" s="1"/>
      <c r="E38" s="1"/>
      <c r="F38" s="1"/>
      <c r="G38" s="1">
        <f>TorneosResults!H67</f>
        <v>215</v>
      </c>
      <c r="H38" s="1">
        <f>TorneosResults!I67</f>
        <v>161.25</v>
      </c>
      <c r="I38" s="1">
        <f>TorneosResults!J67</f>
        <v>107.5</v>
      </c>
      <c r="J38" s="1">
        <f>TorneosResults!J67</f>
        <v>107.5</v>
      </c>
      <c r="K38" s="1">
        <f>TorneosResults!F67</f>
        <v>322.5</v>
      </c>
      <c r="L38" s="1">
        <f>TorneosResults!H67</f>
        <v>215</v>
      </c>
      <c r="M38" s="1"/>
      <c r="N38" s="1">
        <f>TorneosResults!L67</f>
        <v>26.875</v>
      </c>
      <c r="O38" s="1">
        <f>TorneosResults!J67</f>
        <v>107.5</v>
      </c>
      <c r="P38" s="1"/>
      <c r="Q38" s="1">
        <f>TorneosResults!K67</f>
        <v>53.75</v>
      </c>
      <c r="R38" s="1">
        <f>TorneosResults!J67</f>
        <v>107.5</v>
      </c>
      <c r="S38" s="1"/>
      <c r="T38" s="1"/>
      <c r="U38" s="1">
        <f>TorneosResults!K67</f>
        <v>53.75</v>
      </c>
      <c r="V38" s="1"/>
      <c r="W38" s="1">
        <f>TorneosResults!L67</f>
        <v>26.875</v>
      </c>
      <c r="X38" s="1"/>
    </row>
    <row r="39" spans="1:24" x14ac:dyDescent="0.25">
      <c r="A39" s="2" t="str">
        <f>TorneosScore!A15</f>
        <v>Crossing</v>
      </c>
      <c r="B39" s="1"/>
      <c r="C39" s="1"/>
      <c r="D39" s="1">
        <f>TorneosResults!D68</f>
        <v>414</v>
      </c>
      <c r="E39" s="1"/>
      <c r="F39" s="1"/>
      <c r="G39" s="1"/>
      <c r="H39" s="1">
        <f>TorneosResults!H68</f>
        <v>207</v>
      </c>
      <c r="I39" s="1">
        <f>TorneosResults!I68</f>
        <v>155.25</v>
      </c>
      <c r="J39" s="1">
        <f>TorneosResults!J68</f>
        <v>103.5</v>
      </c>
      <c r="K39" s="1"/>
      <c r="L39" s="1">
        <f>TorneosResults!J68</f>
        <v>103.5</v>
      </c>
      <c r="M39" s="1"/>
      <c r="N39" s="1">
        <f>TorneosResults!K68</f>
        <v>51.75</v>
      </c>
      <c r="O39" s="1">
        <f>TorneosResults!J68</f>
        <v>103.5</v>
      </c>
      <c r="P39" s="1">
        <f>TorneosResults!K68</f>
        <v>51.75</v>
      </c>
      <c r="Q39" s="1"/>
      <c r="R39" s="1"/>
      <c r="S39" s="1"/>
      <c r="T39" s="1"/>
      <c r="U39" s="1">
        <f>TorneosResults!K68</f>
        <v>51.75</v>
      </c>
      <c r="V39" s="1"/>
      <c r="W39" s="1">
        <f>TorneosResults!L68</f>
        <v>25.875</v>
      </c>
      <c r="X39" s="1"/>
    </row>
    <row r="40" spans="1:24" x14ac:dyDescent="0.25">
      <c r="A40" s="2" t="str">
        <f>TorneosScore!A16</f>
        <v>CoD12</v>
      </c>
      <c r="B40" s="1"/>
      <c r="C40" s="1"/>
      <c r="D40" s="1"/>
      <c r="E40" s="1"/>
      <c r="F40" s="1"/>
      <c r="G40" s="1">
        <f>TorneosResults!G69</f>
        <v>291.25</v>
      </c>
      <c r="H40" s="1">
        <f>TorneosResults!J69</f>
        <v>116.5</v>
      </c>
      <c r="I40" s="1">
        <f>TorneosResults!H69</f>
        <v>233</v>
      </c>
      <c r="J40" s="1"/>
      <c r="K40" s="1">
        <f>TorneosResults!F69</f>
        <v>349.5</v>
      </c>
      <c r="L40" s="1">
        <f>TorneosResults!J69</f>
        <v>116.5</v>
      </c>
      <c r="M40" s="1"/>
      <c r="N40" s="1">
        <f>TorneosResults!L69</f>
        <v>29.125</v>
      </c>
      <c r="O40" s="1">
        <f>TorneosResults!J69</f>
        <v>116.5</v>
      </c>
      <c r="P40" s="1">
        <f>TorneosResults!K69</f>
        <v>58.25</v>
      </c>
      <c r="Q40" s="1"/>
      <c r="R40" s="1"/>
      <c r="S40" s="1"/>
      <c r="T40" s="1"/>
      <c r="U40" s="1">
        <f>TorneosResults!I69</f>
        <v>174.75</v>
      </c>
      <c r="V40" s="1"/>
      <c r="W40" s="1">
        <f>TorneosResults!J69</f>
        <v>116.5</v>
      </c>
    </row>
    <row r="41" spans="1:24" x14ac:dyDescent="0.25">
      <c r="A41" s="2" t="str">
        <f>TorneosScore!A17</f>
        <v>Trifuerza</v>
      </c>
      <c r="B41" s="1"/>
      <c r="C41" s="1"/>
      <c r="D41" s="1">
        <f>TorneosResults!D70</f>
        <v>272</v>
      </c>
      <c r="E41" s="1"/>
      <c r="F41" s="1"/>
      <c r="G41" s="1">
        <f>TorneosResults!H70</f>
        <v>136</v>
      </c>
      <c r="H41" s="1">
        <f>TorneosResults!F70</f>
        <v>204</v>
      </c>
      <c r="I41" s="1"/>
      <c r="J41" s="1">
        <f>TorneosResults!G70</f>
        <v>170</v>
      </c>
      <c r="K41" s="1"/>
      <c r="L41" s="1"/>
      <c r="M41" s="1"/>
      <c r="N41" s="1"/>
      <c r="O41" s="1"/>
      <c r="P41" s="1">
        <f>TorneosResults!I70</f>
        <v>102</v>
      </c>
      <c r="Q41" s="1">
        <f>TorneosResults!H70</f>
        <v>136</v>
      </c>
      <c r="R41" s="1">
        <f>TorneosResults!J70</f>
        <v>68</v>
      </c>
      <c r="S41" s="1"/>
      <c r="T41" s="1"/>
      <c r="U41" s="1">
        <f>TorneosResults!J70</f>
        <v>68</v>
      </c>
      <c r="V41" s="1"/>
      <c r="W41" s="1">
        <f>TorneosResults!I70</f>
        <v>102</v>
      </c>
      <c r="X41" s="1"/>
    </row>
    <row r="42" spans="1:24" x14ac:dyDescent="0.25">
      <c r="A42" s="2" t="str">
        <f>TorneosScore!A18</f>
        <v>CoD13</v>
      </c>
      <c r="B42" s="1">
        <f>TorneosResults!D71</f>
        <v>378</v>
      </c>
      <c r="C42" s="1">
        <f>TorneosResults!F71</f>
        <v>283.5</v>
      </c>
      <c r="D42" s="1"/>
      <c r="E42" s="1"/>
      <c r="F42" s="1"/>
      <c r="G42" s="1"/>
      <c r="H42" s="1">
        <f>TorneosResults!G71</f>
        <v>236.25</v>
      </c>
      <c r="I42" s="1"/>
      <c r="J42" s="1">
        <f>TorneosResults!I71</f>
        <v>141.75</v>
      </c>
      <c r="K42" s="1">
        <f>TorneosResults!H71</f>
        <v>189</v>
      </c>
      <c r="L42" s="1">
        <f>TorneosResults!J71</f>
        <v>94.5</v>
      </c>
      <c r="M42" s="1"/>
      <c r="N42" s="1"/>
      <c r="O42" s="1">
        <f>TorneosResults!I71</f>
        <v>141.75</v>
      </c>
      <c r="P42" s="1">
        <f>TorneosResults!K71</f>
        <v>47.25</v>
      </c>
      <c r="Q42" s="1">
        <f>TorneosResults!J71</f>
        <v>94.5</v>
      </c>
      <c r="R42" s="1">
        <f>TorneosResults!J71</f>
        <v>94.5</v>
      </c>
      <c r="S42" s="1"/>
      <c r="T42" s="1"/>
      <c r="U42" s="1">
        <f>TorneosResults!J71</f>
        <v>94.5</v>
      </c>
      <c r="V42" s="1"/>
      <c r="W42" s="1">
        <f>TorneosResults!K71</f>
        <v>47.25</v>
      </c>
      <c r="X42" s="1"/>
    </row>
    <row r="43" spans="1:24" x14ac:dyDescent="0.25">
      <c r="A43" s="2" t="str">
        <f>TorneosScore!A19</f>
        <v>Campana</v>
      </c>
      <c r="B43" s="1"/>
      <c r="C43" s="1"/>
      <c r="D43" s="1"/>
      <c r="E43" s="1"/>
      <c r="F43" s="1"/>
      <c r="G43" s="1">
        <f>TorneosResults!D72</f>
        <v>210</v>
      </c>
      <c r="H43" s="1">
        <f>TorneosResults!F72</f>
        <v>157.5</v>
      </c>
      <c r="I43" s="1"/>
      <c r="J43" s="1">
        <f>TorneosResults!H72</f>
        <v>105</v>
      </c>
      <c r="K43" s="1"/>
      <c r="L43" s="1">
        <f>TorneosResults!E72</f>
        <v>183.75</v>
      </c>
      <c r="M43" s="1"/>
      <c r="N43" s="1"/>
      <c r="O43" s="1">
        <f>TorneosResults!G72</f>
        <v>131.25</v>
      </c>
      <c r="P43" s="1">
        <f>TorneosResults!I72</f>
        <v>78.75</v>
      </c>
      <c r="Q43" s="1">
        <f>TorneosResults!I72</f>
        <v>78.75</v>
      </c>
      <c r="R43" s="1"/>
      <c r="S43" s="1"/>
      <c r="T43" s="1"/>
      <c r="U43" s="1">
        <f>TorneosResults!H72</f>
        <v>105</v>
      </c>
      <c r="V43" s="1"/>
      <c r="W43" s="1">
        <f>TorneosResults!J72</f>
        <v>52.5</v>
      </c>
      <c r="X43" s="1"/>
    </row>
    <row r="44" spans="1:24" x14ac:dyDescent="0.25">
      <c r="A44" s="2" t="str">
        <f>TorneosScore!A20</f>
        <v>PoD:TLS</v>
      </c>
      <c r="B44">
        <f>TorneosResults!H73</f>
        <v>411</v>
      </c>
      <c r="D44">
        <f>TorneosResults!G73</f>
        <v>513.75</v>
      </c>
      <c r="E44">
        <f>TorneosResults!J73</f>
        <v>205.5</v>
      </c>
      <c r="G44" s="1">
        <f>TorneosResults!K73</f>
        <v>102.75</v>
      </c>
      <c r="H44" s="1">
        <f>TorneosResults!L73</f>
        <v>51.375</v>
      </c>
      <c r="I44">
        <f>TorneosResults!L73</f>
        <v>51.375</v>
      </c>
      <c r="L44" s="1">
        <f>TorneosResults!K73</f>
        <v>102.75</v>
      </c>
      <c r="O44" s="1">
        <f>TorneosResults!L73</f>
        <v>51.375</v>
      </c>
      <c r="Q44" s="1">
        <f>TorneosResults!L73</f>
        <v>51.375</v>
      </c>
      <c r="R44">
        <f>TorneosResults!L73</f>
        <v>51.375</v>
      </c>
      <c r="U44" s="1">
        <f>TorneosResults!J73</f>
        <v>205.5</v>
      </c>
      <c r="X44" s="1"/>
    </row>
    <row r="45" spans="1:24" x14ac:dyDescent="0.25"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1"/>
    </row>
    <row r="47" spans="1:24" x14ac:dyDescent="0.25">
      <c r="B47">
        <v>780.5</v>
      </c>
      <c r="C47" s="1">
        <v>607.25</v>
      </c>
      <c r="D47">
        <v>669</v>
      </c>
      <c r="E47">
        <v>446</v>
      </c>
      <c r="F47" s="1">
        <v>376.25</v>
      </c>
      <c r="G47">
        <v>291.25</v>
      </c>
      <c r="H47">
        <v>236.25</v>
      </c>
      <c r="I47">
        <v>233</v>
      </c>
      <c r="J47" s="1">
        <v>214</v>
      </c>
      <c r="K47">
        <v>349.5</v>
      </c>
      <c r="L47">
        <v>215</v>
      </c>
      <c r="M47">
        <v>111.5</v>
      </c>
      <c r="N47" s="1">
        <v>107.5</v>
      </c>
      <c r="O47">
        <v>141.75</v>
      </c>
      <c r="P47">
        <v>102</v>
      </c>
      <c r="Q47">
        <v>136</v>
      </c>
      <c r="R47">
        <v>107.5</v>
      </c>
      <c r="S47" s="1">
        <v>129</v>
      </c>
      <c r="T47" s="1">
        <v>40.375</v>
      </c>
      <c r="U47">
        <v>205.5</v>
      </c>
      <c r="V47" s="1">
        <v>40.375</v>
      </c>
      <c r="W47">
        <v>116.5</v>
      </c>
      <c r="X47" s="1"/>
    </row>
    <row r="48" spans="1:24" x14ac:dyDescent="0.25">
      <c r="B48" s="1">
        <v>565.25</v>
      </c>
      <c r="C48" s="1">
        <v>430</v>
      </c>
      <c r="D48">
        <v>513.75</v>
      </c>
      <c r="E48" s="1">
        <v>322.5</v>
      </c>
      <c r="F48" s="1">
        <v>205</v>
      </c>
      <c r="G48">
        <v>215</v>
      </c>
      <c r="H48" s="1">
        <v>215</v>
      </c>
      <c r="I48">
        <v>172</v>
      </c>
      <c r="J48" s="1">
        <v>175</v>
      </c>
      <c r="K48">
        <v>322.5</v>
      </c>
      <c r="L48">
        <v>215</v>
      </c>
      <c r="M48" s="1">
        <v>107</v>
      </c>
      <c r="N48">
        <v>51.75</v>
      </c>
      <c r="O48">
        <v>131.25</v>
      </c>
      <c r="P48" s="1">
        <v>80.75</v>
      </c>
      <c r="Q48">
        <v>129</v>
      </c>
      <c r="R48">
        <v>94.5</v>
      </c>
      <c r="S48" s="1">
        <v>107.5</v>
      </c>
      <c r="T48" s="1">
        <v>0</v>
      </c>
      <c r="U48">
        <v>174.75</v>
      </c>
      <c r="V48" s="1">
        <v>0</v>
      </c>
      <c r="W48">
        <v>102</v>
      </c>
      <c r="X48" s="1"/>
    </row>
    <row r="49" spans="2:24" x14ac:dyDescent="0.25">
      <c r="B49" s="1">
        <v>535.5</v>
      </c>
      <c r="C49" s="1">
        <v>403.75</v>
      </c>
      <c r="D49" s="1">
        <v>442.5</v>
      </c>
      <c r="E49" s="1">
        <v>306.25</v>
      </c>
      <c r="F49" s="1">
        <v>173.5</v>
      </c>
      <c r="G49" s="1">
        <v>214</v>
      </c>
      <c r="H49">
        <v>207</v>
      </c>
      <c r="I49">
        <v>155.25</v>
      </c>
      <c r="J49">
        <v>170</v>
      </c>
      <c r="K49">
        <v>189</v>
      </c>
      <c r="L49">
        <v>183.75</v>
      </c>
      <c r="M49">
        <v>75.25</v>
      </c>
      <c r="N49" s="1">
        <v>43.375</v>
      </c>
      <c r="O49">
        <v>116.5</v>
      </c>
      <c r="P49">
        <v>78.75</v>
      </c>
      <c r="Q49">
        <v>94.5</v>
      </c>
      <c r="R49">
        <v>68</v>
      </c>
      <c r="S49" s="1">
        <v>0</v>
      </c>
      <c r="T49" s="1"/>
      <c r="U49">
        <v>150.5</v>
      </c>
      <c r="V49" s="1">
        <v>0</v>
      </c>
      <c r="W49" s="1">
        <v>87.5</v>
      </c>
      <c r="X49" s="1"/>
    </row>
    <row r="50" spans="2:24" x14ac:dyDescent="0.25">
      <c r="B50" s="1">
        <v>433.75</v>
      </c>
      <c r="C50" s="1">
        <v>374.5</v>
      </c>
      <c r="D50">
        <v>414</v>
      </c>
      <c r="E50" s="1">
        <v>267.5</v>
      </c>
      <c r="F50" s="1">
        <v>0</v>
      </c>
      <c r="G50">
        <v>210</v>
      </c>
      <c r="H50">
        <v>204</v>
      </c>
      <c r="I50">
        <v>150.5</v>
      </c>
      <c r="J50">
        <v>150.5</v>
      </c>
      <c r="K50" s="1">
        <v>153</v>
      </c>
      <c r="L50">
        <v>116.5</v>
      </c>
      <c r="M50" s="1">
        <v>51.25</v>
      </c>
      <c r="N50">
        <v>29.125</v>
      </c>
      <c r="O50">
        <v>107.5</v>
      </c>
      <c r="P50">
        <v>58.25</v>
      </c>
      <c r="Q50" s="1">
        <v>87.5</v>
      </c>
      <c r="R50" s="1">
        <v>53.75</v>
      </c>
      <c r="S50" s="1"/>
      <c r="T50" s="1"/>
      <c r="U50" s="1">
        <v>131.25</v>
      </c>
      <c r="V50" s="1"/>
      <c r="W50" s="1">
        <v>53.5</v>
      </c>
    </row>
    <row r="51" spans="2:24" x14ac:dyDescent="0.25">
      <c r="B51">
        <v>411</v>
      </c>
      <c r="C51" s="1">
        <v>307.5</v>
      </c>
      <c r="D51" s="1">
        <v>350</v>
      </c>
      <c r="E51" s="1">
        <v>260.25</v>
      </c>
      <c r="F51" s="1"/>
      <c r="G51" s="1">
        <v>173.5</v>
      </c>
      <c r="H51" s="1">
        <v>175</v>
      </c>
      <c r="I51" s="1">
        <v>131.25</v>
      </c>
      <c r="J51">
        <v>141.75</v>
      </c>
      <c r="K51" s="1">
        <v>88.5</v>
      </c>
      <c r="L51" s="1">
        <v>107.5</v>
      </c>
      <c r="M51" s="1">
        <v>44.25</v>
      </c>
      <c r="N51">
        <v>26.875</v>
      </c>
      <c r="O51" s="1">
        <v>107</v>
      </c>
      <c r="P51" s="1">
        <v>53.5</v>
      </c>
      <c r="Q51">
        <v>78.75</v>
      </c>
      <c r="R51">
        <v>51.375</v>
      </c>
      <c r="S51" s="1"/>
      <c r="T51" s="1"/>
      <c r="U51">
        <v>105</v>
      </c>
      <c r="V51" s="1"/>
      <c r="W51">
        <v>52.5</v>
      </c>
      <c r="X51" s="1"/>
    </row>
    <row r="52" spans="2:24" x14ac:dyDescent="0.25">
      <c r="B52" s="1">
        <v>410</v>
      </c>
      <c r="C52">
        <v>283.5</v>
      </c>
      <c r="D52" s="1">
        <v>347</v>
      </c>
      <c r="E52">
        <v>258</v>
      </c>
      <c r="F52" s="1"/>
      <c r="G52" s="1">
        <v>161.25</v>
      </c>
      <c r="H52">
        <v>172</v>
      </c>
      <c r="I52">
        <v>111.5</v>
      </c>
      <c r="J52">
        <v>107.5</v>
      </c>
      <c r="K52">
        <v>55.75</v>
      </c>
      <c r="L52">
        <v>103.5</v>
      </c>
      <c r="M52" s="1">
        <v>40.375</v>
      </c>
      <c r="N52" s="1"/>
      <c r="O52">
        <v>103.5</v>
      </c>
      <c r="P52">
        <v>51.75</v>
      </c>
      <c r="Q52">
        <v>75.25</v>
      </c>
      <c r="R52" s="1">
        <v>51.25</v>
      </c>
      <c r="S52" s="1"/>
      <c r="T52" s="1"/>
      <c r="U52">
        <v>94.5</v>
      </c>
      <c r="V52" s="1"/>
      <c r="W52">
        <v>47.25</v>
      </c>
      <c r="X52" s="1"/>
    </row>
    <row r="53" spans="2:24" x14ac:dyDescent="0.25">
      <c r="B53">
        <v>378</v>
      </c>
      <c r="C53" s="1">
        <v>88.5</v>
      </c>
      <c r="D53" s="1">
        <v>321</v>
      </c>
      <c r="E53" s="1">
        <v>242.25</v>
      </c>
      <c r="F53" s="1"/>
      <c r="G53" s="1">
        <v>153</v>
      </c>
      <c r="H53">
        <v>161.25</v>
      </c>
      <c r="I53">
        <v>107.5</v>
      </c>
      <c r="J53">
        <v>105</v>
      </c>
      <c r="K53" s="1">
        <v>40.375</v>
      </c>
      <c r="L53">
        <v>102.75</v>
      </c>
      <c r="M53" s="1"/>
      <c r="N53" s="1"/>
      <c r="O53" s="1">
        <v>87.5</v>
      </c>
      <c r="P53" s="1">
        <v>51.25</v>
      </c>
      <c r="Q53">
        <v>53.75</v>
      </c>
      <c r="R53" s="1">
        <v>43.375</v>
      </c>
      <c r="S53" s="1"/>
      <c r="T53" s="1"/>
      <c r="U53">
        <v>86</v>
      </c>
      <c r="V53" s="1"/>
      <c r="W53" s="1">
        <v>40.375</v>
      </c>
      <c r="X53" s="1"/>
    </row>
    <row r="54" spans="2:24" x14ac:dyDescent="0.25">
      <c r="B54">
        <v>344</v>
      </c>
      <c r="C54" s="1">
        <v>0</v>
      </c>
      <c r="D54" s="1">
        <v>306</v>
      </c>
      <c r="E54" s="1">
        <v>229.5</v>
      </c>
      <c r="F54" s="1"/>
      <c r="G54">
        <v>150.5</v>
      </c>
      <c r="H54" s="1">
        <v>160.5</v>
      </c>
      <c r="I54" s="1">
        <v>107</v>
      </c>
      <c r="J54">
        <v>103.5</v>
      </c>
      <c r="K54" s="1"/>
      <c r="L54">
        <v>94.5</v>
      </c>
      <c r="M54" s="1"/>
      <c r="N54" s="1"/>
      <c r="O54">
        <v>86</v>
      </c>
      <c r="P54">
        <v>47.25</v>
      </c>
      <c r="Q54" s="1">
        <v>53.5</v>
      </c>
      <c r="R54" s="1">
        <v>38.25</v>
      </c>
      <c r="S54" s="1"/>
      <c r="T54" s="1"/>
      <c r="U54">
        <v>68</v>
      </c>
      <c r="V54" s="1"/>
      <c r="W54">
        <v>37.625</v>
      </c>
      <c r="X54" s="1"/>
    </row>
    <row r="55" spans="2:24" x14ac:dyDescent="0.25">
      <c r="B55" s="1">
        <v>92.625</v>
      </c>
      <c r="C55" s="1"/>
      <c r="D55">
        <v>301</v>
      </c>
      <c r="E55">
        <v>225.75</v>
      </c>
      <c r="F55" s="1"/>
      <c r="G55">
        <v>136</v>
      </c>
      <c r="H55">
        <v>157.5</v>
      </c>
      <c r="I55" s="1">
        <v>88.5</v>
      </c>
      <c r="J55" s="1">
        <v>86.75</v>
      </c>
      <c r="K55" s="1"/>
      <c r="L55">
        <v>75.25</v>
      </c>
      <c r="M55" s="1"/>
      <c r="N55" s="1"/>
      <c r="O55" s="1">
        <v>76.5</v>
      </c>
      <c r="P55" s="1">
        <v>44.25</v>
      </c>
      <c r="Q55">
        <v>51.375</v>
      </c>
      <c r="R55" s="1">
        <v>0</v>
      </c>
      <c r="S55" s="1"/>
      <c r="T55" s="1"/>
      <c r="U55" s="1">
        <v>53.75</v>
      </c>
      <c r="V55" s="1"/>
      <c r="W55">
        <v>26.875</v>
      </c>
      <c r="X55" s="1"/>
    </row>
    <row r="56" spans="2:24" x14ac:dyDescent="0.25">
      <c r="B56" s="1"/>
      <c r="C56" s="1"/>
      <c r="D56">
        <v>301</v>
      </c>
      <c r="E56">
        <v>205.5</v>
      </c>
      <c r="G56">
        <v>102.75</v>
      </c>
      <c r="H56" s="1">
        <v>153</v>
      </c>
      <c r="I56" s="1">
        <v>86.75</v>
      </c>
      <c r="J56" s="1">
        <v>76.5</v>
      </c>
      <c r="K56" s="1"/>
      <c r="L56" s="1">
        <v>51.25</v>
      </c>
      <c r="M56" s="1"/>
      <c r="N56" s="1"/>
      <c r="O56">
        <v>55.75</v>
      </c>
      <c r="P56" s="1">
        <v>43.375</v>
      </c>
      <c r="Q56" s="1">
        <v>51.25</v>
      </c>
      <c r="R56" s="1"/>
      <c r="U56">
        <v>53.75</v>
      </c>
      <c r="W56">
        <v>25.875</v>
      </c>
      <c r="X56" s="1"/>
    </row>
    <row r="57" spans="2:24" x14ac:dyDescent="0.25">
      <c r="B57" s="1"/>
      <c r="D57">
        <v>272</v>
      </c>
      <c r="E57" s="1">
        <v>177</v>
      </c>
      <c r="G57" s="1">
        <v>80.75</v>
      </c>
      <c r="H57">
        <v>116.5</v>
      </c>
      <c r="I57" s="1">
        <v>80.75</v>
      </c>
      <c r="J57">
        <v>55.75</v>
      </c>
      <c r="K57" s="1"/>
      <c r="L57" s="1">
        <v>44.25</v>
      </c>
      <c r="M57" s="1"/>
      <c r="N57" s="1"/>
      <c r="O57">
        <v>51.375</v>
      </c>
      <c r="P57" s="1">
        <v>38.25</v>
      </c>
      <c r="Q57" s="1">
        <v>38.25</v>
      </c>
      <c r="R57" s="1"/>
      <c r="U57">
        <v>51.75</v>
      </c>
      <c r="W57" s="1">
        <v>0</v>
      </c>
      <c r="X57" s="1"/>
    </row>
    <row r="58" spans="2:24" x14ac:dyDescent="0.25">
      <c r="B58" s="1"/>
      <c r="D58" s="1">
        <v>205</v>
      </c>
      <c r="E58" s="1">
        <v>102.5</v>
      </c>
      <c r="G58">
        <v>55.75</v>
      </c>
      <c r="H58" s="1">
        <v>86.75</v>
      </c>
      <c r="I58" s="1">
        <v>76.5</v>
      </c>
      <c r="J58" s="1">
        <v>44.25</v>
      </c>
      <c r="K58" s="1"/>
      <c r="L58" s="1">
        <v>43.375</v>
      </c>
      <c r="N58" s="1"/>
      <c r="O58" s="1">
        <v>40.375</v>
      </c>
      <c r="P58">
        <v>37.625</v>
      </c>
      <c r="Q58" s="1">
        <v>26.875</v>
      </c>
      <c r="R58" s="1"/>
      <c r="U58" s="1">
        <v>44.25</v>
      </c>
      <c r="W58" s="1">
        <v>0</v>
      </c>
      <c r="X58" s="1"/>
    </row>
    <row r="59" spans="2:24" x14ac:dyDescent="0.25">
      <c r="B59" s="1"/>
      <c r="D59" s="1">
        <v>161.5</v>
      </c>
      <c r="E59" s="1">
        <v>92.625</v>
      </c>
      <c r="G59" s="1">
        <v>51.25</v>
      </c>
      <c r="H59" s="1">
        <v>80.75</v>
      </c>
      <c r="I59" s="1">
        <v>53.75</v>
      </c>
      <c r="J59" s="1">
        <v>40.375</v>
      </c>
      <c r="K59" s="1"/>
      <c r="L59" s="1">
        <v>40.375</v>
      </c>
      <c r="O59">
        <v>37.625</v>
      </c>
      <c r="P59" s="1"/>
      <c r="Q59" s="1">
        <v>0</v>
      </c>
      <c r="R59" s="1"/>
      <c r="U59" s="1">
        <v>43.375</v>
      </c>
      <c r="W59" s="1"/>
    </row>
    <row r="60" spans="2:24" x14ac:dyDescent="0.25">
      <c r="D60" s="1">
        <v>92.625</v>
      </c>
      <c r="G60" s="1">
        <v>44.25</v>
      </c>
      <c r="H60">
        <v>75.25</v>
      </c>
      <c r="I60">
        <v>51.375</v>
      </c>
      <c r="J60" s="1"/>
      <c r="L60" s="1">
        <v>0</v>
      </c>
      <c r="O60" s="1">
        <v>0</v>
      </c>
      <c r="P60" s="1"/>
      <c r="Q60" s="1">
        <v>0</v>
      </c>
      <c r="U60" s="1">
        <v>38.25</v>
      </c>
      <c r="W60" s="1"/>
    </row>
    <row r="61" spans="2:24" x14ac:dyDescent="0.25">
      <c r="D61" s="1"/>
      <c r="G61" s="1">
        <v>0</v>
      </c>
      <c r="H61">
        <v>55.75</v>
      </c>
      <c r="I61" s="1">
        <v>51.25</v>
      </c>
      <c r="J61" s="1"/>
      <c r="L61" s="1"/>
      <c r="O61" s="1">
        <v>0</v>
      </c>
      <c r="P61" s="1"/>
      <c r="Q61" s="1"/>
      <c r="U61" s="1">
        <v>26.75</v>
      </c>
      <c r="W61" s="1"/>
    </row>
    <row r="62" spans="2:24" x14ac:dyDescent="0.25">
      <c r="G62" s="1"/>
      <c r="H62">
        <v>51.375</v>
      </c>
      <c r="I62" s="1">
        <v>0</v>
      </c>
      <c r="J62" s="1"/>
      <c r="L62" s="1"/>
      <c r="O62" s="1">
        <v>0</v>
      </c>
      <c r="Q62" s="1"/>
      <c r="U62" s="1">
        <v>0</v>
      </c>
      <c r="W62" s="1"/>
    </row>
    <row r="63" spans="2:24" x14ac:dyDescent="0.25">
      <c r="H63" s="1">
        <v>44.25</v>
      </c>
      <c r="L63" s="1"/>
      <c r="O63" s="1"/>
      <c r="U63" s="1">
        <v>0</v>
      </c>
    </row>
    <row r="64" spans="2:24" x14ac:dyDescent="0.25">
      <c r="H64" s="1">
        <v>0</v>
      </c>
      <c r="O64" s="1"/>
      <c r="U64" s="1">
        <v>0</v>
      </c>
    </row>
    <row r="65" spans="1:23" x14ac:dyDescent="0.25">
      <c r="H65" s="1">
        <v>0</v>
      </c>
    </row>
    <row r="69" spans="1:23" x14ac:dyDescent="0.25">
      <c r="A69" t="s">
        <v>163</v>
      </c>
      <c r="B69">
        <f>B47+B48+B49+B50+B51+B52</f>
        <v>3136</v>
      </c>
      <c r="C69">
        <f t="shared" ref="C69:W69" si="0">C47+C48+C49+C50+C51+C52</f>
        <v>2406.5</v>
      </c>
      <c r="D69">
        <f t="shared" si="0"/>
        <v>2736.25</v>
      </c>
      <c r="E69">
        <f t="shared" si="0"/>
        <v>1860.5</v>
      </c>
      <c r="F69">
        <f t="shared" si="0"/>
        <v>754.75</v>
      </c>
      <c r="G69">
        <f t="shared" si="0"/>
        <v>1265</v>
      </c>
      <c r="H69">
        <f t="shared" si="0"/>
        <v>1209.25</v>
      </c>
      <c r="I69">
        <f t="shared" si="0"/>
        <v>953.5</v>
      </c>
      <c r="J69">
        <f t="shared" si="0"/>
        <v>958.75</v>
      </c>
      <c r="K69">
        <f t="shared" si="0"/>
        <v>1158.25</v>
      </c>
      <c r="L69">
        <f t="shared" si="0"/>
        <v>941.25</v>
      </c>
      <c r="M69">
        <f t="shared" si="0"/>
        <v>429.625</v>
      </c>
      <c r="N69">
        <f t="shared" si="0"/>
        <v>258.625</v>
      </c>
      <c r="O69">
        <f t="shared" si="0"/>
        <v>707.5</v>
      </c>
      <c r="P69">
        <f t="shared" si="0"/>
        <v>425</v>
      </c>
      <c r="Q69">
        <f t="shared" si="0"/>
        <v>601</v>
      </c>
      <c r="R69">
        <f t="shared" si="0"/>
        <v>426.375</v>
      </c>
      <c r="S69">
        <f t="shared" si="0"/>
        <v>236.5</v>
      </c>
      <c r="T69">
        <f t="shared" si="0"/>
        <v>40.375</v>
      </c>
      <c r="U69">
        <f t="shared" si="0"/>
        <v>861.5</v>
      </c>
      <c r="V69">
        <f t="shared" si="0"/>
        <v>40.375</v>
      </c>
      <c r="W69">
        <f t="shared" si="0"/>
        <v>459.25</v>
      </c>
    </row>
    <row r="70" spans="1:23" x14ac:dyDescent="0.25">
      <c r="B70" t="s">
        <v>0</v>
      </c>
      <c r="C70" t="s">
        <v>1</v>
      </c>
      <c r="D70" t="s">
        <v>2</v>
      </c>
      <c r="E70" t="s">
        <v>3</v>
      </c>
      <c r="F70" t="s">
        <v>4</v>
      </c>
      <c r="G70" t="s">
        <v>7</v>
      </c>
      <c r="H70" t="s">
        <v>8</v>
      </c>
      <c r="I70" t="s">
        <v>52</v>
      </c>
      <c r="J70" t="s">
        <v>9</v>
      </c>
      <c r="K70" t="s">
        <v>5</v>
      </c>
      <c r="L70" t="s">
        <v>11</v>
      </c>
      <c r="M70" t="s">
        <v>10</v>
      </c>
      <c r="N70" t="s">
        <v>103</v>
      </c>
      <c r="O70" t="s">
        <v>53</v>
      </c>
      <c r="P70" t="s">
        <v>54</v>
      </c>
      <c r="Q70" t="s">
        <v>55</v>
      </c>
      <c r="R70" t="s">
        <v>56</v>
      </c>
      <c r="S70" t="s">
        <v>57</v>
      </c>
      <c r="T70" t="s">
        <v>58</v>
      </c>
      <c r="U70" t="s">
        <v>13</v>
      </c>
      <c r="V70" t="s">
        <v>12</v>
      </c>
      <c r="W70" t="s">
        <v>59</v>
      </c>
    </row>
    <row r="72" spans="1:23" x14ac:dyDescent="0.25">
      <c r="A72" t="s">
        <v>134</v>
      </c>
      <c r="B72">
        <f>B47+B48+B49</f>
        <v>1881.25</v>
      </c>
      <c r="C72">
        <f t="shared" ref="C72:W72" si="1">C47+C48+C49</f>
        <v>1441</v>
      </c>
      <c r="D72">
        <f t="shared" si="1"/>
        <v>1625.25</v>
      </c>
      <c r="E72">
        <f t="shared" si="1"/>
        <v>1074.75</v>
      </c>
      <c r="F72">
        <f t="shared" si="1"/>
        <v>754.75</v>
      </c>
      <c r="G72">
        <f t="shared" si="1"/>
        <v>720.25</v>
      </c>
      <c r="H72">
        <f t="shared" si="1"/>
        <v>658.25</v>
      </c>
      <c r="I72">
        <f t="shared" si="1"/>
        <v>560.25</v>
      </c>
      <c r="J72">
        <f t="shared" si="1"/>
        <v>559</v>
      </c>
      <c r="K72">
        <f t="shared" si="1"/>
        <v>861</v>
      </c>
      <c r="L72">
        <f t="shared" si="1"/>
        <v>613.75</v>
      </c>
      <c r="M72">
        <f t="shared" si="1"/>
        <v>293.75</v>
      </c>
      <c r="N72">
        <f t="shared" si="1"/>
        <v>202.625</v>
      </c>
      <c r="O72">
        <f t="shared" si="1"/>
        <v>389.5</v>
      </c>
      <c r="P72">
        <f t="shared" si="1"/>
        <v>261.5</v>
      </c>
      <c r="Q72">
        <f t="shared" si="1"/>
        <v>359.5</v>
      </c>
      <c r="R72">
        <f t="shared" si="1"/>
        <v>270</v>
      </c>
      <c r="S72">
        <f t="shared" si="1"/>
        <v>236.5</v>
      </c>
      <c r="T72">
        <f t="shared" si="1"/>
        <v>40.375</v>
      </c>
      <c r="U72">
        <f t="shared" si="1"/>
        <v>530.75</v>
      </c>
      <c r="V72">
        <f t="shared" si="1"/>
        <v>40.375</v>
      </c>
      <c r="W72">
        <f t="shared" si="1"/>
        <v>306</v>
      </c>
    </row>
    <row r="73" spans="1:23" x14ac:dyDescent="0.25">
      <c r="B73" t="s">
        <v>0</v>
      </c>
      <c r="C73" t="s">
        <v>1</v>
      </c>
      <c r="D73" t="s">
        <v>2</v>
      </c>
      <c r="E73" t="s">
        <v>3</v>
      </c>
      <c r="F73" t="s">
        <v>4</v>
      </c>
      <c r="G73" t="s">
        <v>7</v>
      </c>
      <c r="H73" t="s">
        <v>8</v>
      </c>
      <c r="I73" t="s">
        <v>52</v>
      </c>
      <c r="J73" t="s">
        <v>9</v>
      </c>
      <c r="K73" t="s">
        <v>5</v>
      </c>
      <c r="L73" t="s">
        <v>11</v>
      </c>
      <c r="M73" t="s">
        <v>10</v>
      </c>
      <c r="N73" t="s">
        <v>103</v>
      </c>
      <c r="O73" t="s">
        <v>53</v>
      </c>
      <c r="P73" t="s">
        <v>54</v>
      </c>
      <c r="Q73" t="s">
        <v>55</v>
      </c>
      <c r="R73" t="s">
        <v>56</v>
      </c>
      <c r="S73" t="s">
        <v>57</v>
      </c>
      <c r="T73" t="s">
        <v>58</v>
      </c>
      <c r="U73" t="s">
        <v>13</v>
      </c>
      <c r="V73" t="s">
        <v>12</v>
      </c>
      <c r="W73" t="s">
        <v>59</v>
      </c>
    </row>
  </sheetData>
  <sortState xmlns:xlrd2="http://schemas.microsoft.com/office/spreadsheetml/2017/richdata2" ref="W47:W65">
    <sortCondition descending="1" ref="W47:W65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A6B2-E9AD-4DE1-A3FC-FF4AFB7E8B7A}">
  <dimension ref="A1:H21"/>
  <sheetViews>
    <sheetView workbookViewId="0"/>
  </sheetViews>
  <sheetFormatPr defaultColWidth="11.42578125" defaultRowHeight="15" x14ac:dyDescent="0.25"/>
  <sheetData>
    <row r="1" spans="1:8" x14ac:dyDescent="0.25">
      <c r="A1" t="s">
        <v>0</v>
      </c>
      <c r="B1">
        <v>1827</v>
      </c>
      <c r="D1" t="s">
        <v>157</v>
      </c>
      <c r="F1" t="s">
        <v>159</v>
      </c>
      <c r="H1" t="s">
        <v>160</v>
      </c>
    </row>
    <row r="2" spans="1:8" x14ac:dyDescent="0.25">
      <c r="A2" t="s">
        <v>2</v>
      </c>
      <c r="B2">
        <v>1783</v>
      </c>
      <c r="D2" t="s">
        <v>0</v>
      </c>
      <c r="F2" t="s">
        <v>75</v>
      </c>
      <c r="H2" t="s">
        <v>76</v>
      </c>
    </row>
    <row r="3" spans="1:8" x14ac:dyDescent="0.25">
      <c r="A3" t="s">
        <v>1</v>
      </c>
      <c r="B3">
        <v>1669</v>
      </c>
      <c r="D3" t="s">
        <v>2</v>
      </c>
      <c r="F3" t="s">
        <v>158</v>
      </c>
      <c r="H3" t="s">
        <v>28</v>
      </c>
    </row>
    <row r="4" spans="1:8" x14ac:dyDescent="0.25">
      <c r="A4" t="s">
        <v>3</v>
      </c>
      <c r="B4">
        <v>1582</v>
      </c>
      <c r="D4" t="s">
        <v>1</v>
      </c>
      <c r="F4" t="s">
        <v>89</v>
      </c>
      <c r="H4" t="s">
        <v>87</v>
      </c>
    </row>
    <row r="5" spans="1:8" x14ac:dyDescent="0.25">
      <c r="A5" t="s">
        <v>4</v>
      </c>
      <c r="B5">
        <v>1513</v>
      </c>
      <c r="D5" t="s">
        <v>3</v>
      </c>
      <c r="H5" t="s">
        <v>161</v>
      </c>
    </row>
    <row r="6" spans="1:8" x14ac:dyDescent="0.25">
      <c r="A6" t="s">
        <v>7</v>
      </c>
      <c r="B6">
        <v>1450</v>
      </c>
      <c r="D6" t="s">
        <v>7</v>
      </c>
      <c r="H6" t="s">
        <v>108</v>
      </c>
    </row>
    <row r="7" spans="1:8" x14ac:dyDescent="0.25">
      <c r="A7" t="s">
        <v>5</v>
      </c>
      <c r="B7">
        <v>1421</v>
      </c>
      <c r="D7" t="s">
        <v>5</v>
      </c>
      <c r="H7" t="s">
        <v>97</v>
      </c>
    </row>
    <row r="8" spans="1:8" x14ac:dyDescent="0.25">
      <c r="A8" t="s">
        <v>8</v>
      </c>
      <c r="B8">
        <v>1360</v>
      </c>
      <c r="D8" t="s">
        <v>8</v>
      </c>
      <c r="H8" t="s">
        <v>104</v>
      </c>
    </row>
    <row r="9" spans="1:8" x14ac:dyDescent="0.25">
      <c r="A9" t="s">
        <v>11</v>
      </c>
      <c r="B9">
        <v>1321</v>
      </c>
      <c r="D9" t="s">
        <v>11</v>
      </c>
    </row>
    <row r="10" spans="1:8" x14ac:dyDescent="0.25">
      <c r="A10" t="s">
        <v>52</v>
      </c>
      <c r="B10">
        <v>1315</v>
      </c>
      <c r="D10" t="s">
        <v>52</v>
      </c>
    </row>
    <row r="11" spans="1:8" x14ac:dyDescent="0.25">
      <c r="A11" t="s">
        <v>9</v>
      </c>
      <c r="B11">
        <v>1252</v>
      </c>
      <c r="D11" t="s">
        <v>9</v>
      </c>
    </row>
    <row r="12" spans="1:8" x14ac:dyDescent="0.25">
      <c r="A12" t="s">
        <v>53</v>
      </c>
      <c r="B12">
        <v>1201</v>
      </c>
      <c r="D12" t="s">
        <v>53</v>
      </c>
    </row>
    <row r="13" spans="1:8" x14ac:dyDescent="0.25">
      <c r="A13" t="s">
        <v>10</v>
      </c>
      <c r="B13">
        <v>1193</v>
      </c>
      <c r="D13" t="s">
        <v>55</v>
      </c>
    </row>
    <row r="14" spans="1:8" x14ac:dyDescent="0.25">
      <c r="A14" t="s">
        <v>55</v>
      </c>
      <c r="B14">
        <v>1169</v>
      </c>
      <c r="D14" t="s">
        <v>13</v>
      </c>
    </row>
    <row r="15" spans="1:8" x14ac:dyDescent="0.25">
      <c r="A15" t="s">
        <v>57</v>
      </c>
      <c r="B15">
        <v>1142</v>
      </c>
      <c r="D15" t="s">
        <v>56</v>
      </c>
    </row>
    <row r="16" spans="1:8" x14ac:dyDescent="0.25">
      <c r="A16" t="s">
        <v>13</v>
      </c>
      <c r="B16">
        <v>1123</v>
      </c>
      <c r="D16" t="s">
        <v>54</v>
      </c>
    </row>
    <row r="17" spans="1:4" x14ac:dyDescent="0.25">
      <c r="A17" t="s">
        <v>56</v>
      </c>
      <c r="B17">
        <v>1098</v>
      </c>
      <c r="D17" t="s">
        <v>59</v>
      </c>
    </row>
    <row r="18" spans="1:4" x14ac:dyDescent="0.25">
      <c r="A18" t="s">
        <v>54</v>
      </c>
      <c r="B18">
        <v>1043</v>
      </c>
    </row>
    <row r="19" spans="1:4" x14ac:dyDescent="0.25">
      <c r="A19" t="s">
        <v>103</v>
      </c>
      <c r="B19">
        <v>982</v>
      </c>
    </row>
    <row r="20" spans="1:4" x14ac:dyDescent="0.25">
      <c r="A20" t="s">
        <v>59</v>
      </c>
      <c r="B20">
        <v>942</v>
      </c>
    </row>
    <row r="21" spans="1:4" x14ac:dyDescent="0.25">
      <c r="A21" t="s">
        <v>12</v>
      </c>
      <c r="B21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Ranking</vt:lpstr>
      <vt:lpstr>TorneosScore</vt:lpstr>
      <vt:lpstr>TorneosResults</vt:lpstr>
      <vt:lpstr>PlayerResults</vt:lpstr>
      <vt:lpstr>PuntosBraacket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Centeno González</dc:creator>
  <cp:lastModifiedBy>chatu nwn</cp:lastModifiedBy>
  <dcterms:created xsi:type="dcterms:W3CDTF">2023-12-24T18:31:58Z</dcterms:created>
  <dcterms:modified xsi:type="dcterms:W3CDTF">2025-03-10T22:31:21Z</dcterms:modified>
</cp:coreProperties>
</file>